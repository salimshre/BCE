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4-not confirmed\"/>
    </mc:Choice>
  </mc:AlternateContent>
  <xr:revisionPtr revIDLastSave="0" documentId="13_ncr:1_{6A275ADF-2A99-4586-BBAC-1B4D6F6EEB40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1" l="1"/>
  <c r="B60" i="1"/>
  <c r="B51" i="1"/>
  <c r="D67" i="1"/>
  <c r="D65" i="1"/>
  <c r="B58" i="1"/>
  <c r="B57" i="1"/>
  <c r="B49" i="1"/>
  <c r="B48" i="1"/>
</calcChain>
</file>

<file path=xl/sharedStrings.xml><?xml version="1.0" encoding="utf-8"?>
<sst xmlns="http://schemas.openxmlformats.org/spreadsheetml/2006/main" count="114" uniqueCount="55">
  <si>
    <t>no of ads,x</t>
  </si>
  <si>
    <t>can purchased,y</t>
  </si>
  <si>
    <t>For Y on X</t>
  </si>
  <si>
    <t>Components</t>
  </si>
  <si>
    <t>a</t>
  </si>
  <si>
    <t>byx</t>
  </si>
  <si>
    <t>X</t>
  </si>
  <si>
    <t>ye</t>
  </si>
  <si>
    <t>Y</t>
  </si>
  <si>
    <t>Values</t>
  </si>
  <si>
    <t>Formula</t>
  </si>
  <si>
    <t>for x on y</t>
  </si>
  <si>
    <t>bxy</t>
  </si>
  <si>
    <t>xe</t>
  </si>
  <si>
    <t>Y=3.331+1.711X</t>
  </si>
  <si>
    <t>x=-0.109+0.362Y</t>
  </si>
  <si>
    <t>correlation</t>
  </si>
  <si>
    <t>r</t>
  </si>
  <si>
    <t>coefficent of determination</t>
  </si>
  <si>
    <t>r2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</si>
  <si>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</si>
  <si>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</si>
  <si>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</si>
  <si>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</si>
  <si>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</si>
  <si>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</si>
  <si>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</si>
  <si>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</si>
  <si>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</si>
  <si>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</si>
  <si>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</si>
  <si>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</si>
  <si>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</si>
  <si>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</si>
  <si>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</si>
  <si>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</si>
  <si>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</si>
  <si>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</si>
  <si>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</si>
  <si>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</si>
  <si>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</si>
  <si>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</si>
  <si>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</si>
  <si>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</si>
  <si>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no of ads (x)</t>
  </si>
  <si>
    <t>can purchased (y)</t>
  </si>
  <si>
    <t xml:space="preserve"> =INTERCEPT(B36:B43,A36:A43)</t>
  </si>
  <si>
    <t xml:space="preserve"> =SLOPE(B36:B43,A36:A43)</t>
  </si>
  <si>
    <t xml:space="preserve"> =INTERCEPT(A36:A43,B36:B43)</t>
  </si>
  <si>
    <t xml:space="preserve"> =SLOPE(A36:A43,B36:B43)</t>
  </si>
  <si>
    <t xml:space="preserve"> =CORREL(A36:A43,B36:B43)</t>
  </si>
  <si>
    <t xml:space="preserve"> =RSQ(B36:B43,A36:A43)</t>
  </si>
  <si>
    <t xml:space="preserve"> =@TREND(B36:B43,A36:A43,B50)</t>
  </si>
  <si>
    <t xml:space="preserve"> =@TREND(A36:A43,B36:B43,B59)</t>
  </si>
  <si>
    <t xml:space="preserve"> =SQRT(B49*B58)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</si>
</sst>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0" fillId="0" borderId="0" xfId="0" applyBorder="1"/>
    <xf numFmtId="0" fontId="3" fillId="0" borderId="2" xfId="0" applyFont="1" applyBorder="1" applyAlignment="1">
      <alignment horizontal="centerContinuous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5796150481189"/>
          <c:y val="0.10232648002333042"/>
          <c:w val="0.83151159230096239"/>
          <c:h val="0.73444808982210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can purchased (y)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Sheet1!$A$19:$A$26</c:f>
              <c:numCache>
                <c:formatCode>General</c:formatCode>
                <c:ptCount val="8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</c:numCache>
            </c:numRef>
          </c:xVal>
          <c:yVal>
            <c:numRef>
              <c:f>Sheet1!$B$19:$B$26</c:f>
              <c:numCache>
                <c:formatCode>General</c:formatCode>
                <c:ptCount val="8"/>
                <c:pt idx="0">
                  <c:v>11</c:v>
                </c:pt>
                <c:pt idx="1">
                  <c:v>18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2-4685-85A4-490897B7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68640"/>
        <c:axId val="239970560"/>
      </c:scatterChart>
      <c:valAx>
        <c:axId val="23996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</a:t>
                </a:r>
                <a:r>
                  <a:rPr lang="en-US" baseline="0"/>
                  <a:t> of ads ,x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9970560"/>
        <c:crosses val="autoZero"/>
        <c:crossBetween val="midCat"/>
      </c:valAx>
      <c:valAx>
        <c:axId val="239970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</a:t>
                </a:r>
                <a:r>
                  <a:rPr lang="en-US" baseline="0"/>
                  <a:t> purchase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9968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5796150481189"/>
          <c:y val="0.10232648002333042"/>
          <c:w val="0.83151159230096239"/>
          <c:h val="0.73444808982210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can purchased (y)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Sheet1!$A$19:$A$26</c:f>
              <c:numCache>
                <c:formatCode>General</c:formatCode>
                <c:ptCount val="8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</c:numCache>
            </c:numRef>
          </c:xVal>
          <c:yVal>
            <c:numRef>
              <c:f>Sheet1!$B$19:$B$26</c:f>
              <c:numCache>
                <c:formatCode>General</c:formatCode>
                <c:ptCount val="8"/>
                <c:pt idx="0">
                  <c:v>11</c:v>
                </c:pt>
                <c:pt idx="1">
                  <c:v>18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E-43F3-850B-F4C59AF7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388736"/>
        <c:axId val="240390912"/>
      </c:scatterChart>
      <c:valAx>
        <c:axId val="24038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</a:t>
                </a:r>
                <a:r>
                  <a:rPr lang="en-US" baseline="0"/>
                  <a:t> of ads ,x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0390912"/>
        <c:crosses val="autoZero"/>
        <c:crossBetween val="midCat"/>
      </c:valAx>
      <c:valAx>
        <c:axId val="2403909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</a:t>
                </a:r>
                <a:r>
                  <a:rPr lang="en-US" baseline="0"/>
                  <a:t> purchase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0388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883920</xdr:colOff>
      <xdr:row>17</xdr:row>
      <xdr:rowOff>0</xdr:rowOff>
    </xdr:from>
    <xdr:to>
      <xdr:col>7</xdr:col>
      <xdr:colOff>388620</xdr:colOff>
      <xdr:row>31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13538</xdr:colOff>
      <xdr:row>46</xdr:row>
      <xdr:rowOff>0</xdr:rowOff>
    </xdr:from>
    <xdr:to>
      <xdr:col>9</xdr:col>
      <xdr:colOff>457130</xdr:colOff>
      <xdr:row>58</xdr:row>
      <xdr:rowOff>6727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I125"/>
  <sheetViews>
    <sheetView tabSelected="1" topLeftCell="A109" zoomScale="112" zoomScaleNormal="112" workbookViewId="0">
      <selection activeCell="D73" sqref="D73"/>
    </sheetView>
  </sheetViews>
  <sheetFormatPr defaultRowHeight="15" x14ac:dyDescent="0.25"/>
  <cols>
    <col min="1" max="1" width="15.28515625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.140625" bestFit="1" customWidth="1"/>
    <col min="6" max="6" width="12.7109375" bestFit="1" customWidth="1"/>
    <col min="7" max="7" width="12.140625" bestFit="1" customWidth="1"/>
    <col min="8" max="8" width="12.7109375" bestFit="1" customWidth="1"/>
    <col min="9" max="9" width="12.5703125" bestFit="1" customWidth="1"/>
  </cols>
  <sheetData>
    <row r="18" spans="1:2" x14ac:dyDescent="0.25">
      <c r="A18" s="4" t="s">
        <v>44</v>
      </c>
      <c r="B18" s="4" t="s">
        <v>45</v>
      </c>
    </row>
    <row r="19" spans="1:2" x14ac:dyDescent="0.25">
      <c r="A19">
        <v>3</v>
      </c>
      <c r="B19">
        <v>11</v>
      </c>
    </row>
    <row r="20" spans="1:2" x14ac:dyDescent="0.25">
      <c r="A20">
        <v>7</v>
      </c>
      <c r="B20">
        <v>18</v>
      </c>
    </row>
    <row r="21" spans="1:2" x14ac:dyDescent="0.25">
      <c r="A21">
        <v>4</v>
      </c>
      <c r="B21">
        <v>9</v>
      </c>
    </row>
    <row r="22" spans="1:2" x14ac:dyDescent="0.25">
      <c r="A22">
        <v>2</v>
      </c>
      <c r="B22">
        <v>4</v>
      </c>
    </row>
    <row r="23" spans="1:2" x14ac:dyDescent="0.25">
      <c r="A23">
        <v>0</v>
      </c>
      <c r="B23">
        <v>7</v>
      </c>
    </row>
    <row r="24" spans="1:2" x14ac:dyDescent="0.25">
      <c r="A24">
        <v>4</v>
      </c>
      <c r="B24">
        <v>6</v>
      </c>
    </row>
    <row r="25" spans="1:2" x14ac:dyDescent="0.25">
      <c r="A25">
        <v>1</v>
      </c>
      <c r="B25">
        <v>3</v>
      </c>
    </row>
    <row r="26" spans="1:2" x14ac:dyDescent="0.25">
      <c r="A26">
        <v>2</v>
      </c>
      <c r="B26">
        <v>8</v>
      </c>
    </row>
    <row r="33" spans="1:3" x14ac:dyDescent="0.25">
      <c r="A33">
        <v>8</v>
      </c>
      <c r="B33">
        <v>25</v>
      </c>
    </row>
    <row r="35" spans="1:3" x14ac:dyDescent="0.25">
      <c r="A35" s="4" t="s">
        <v>44</v>
      </c>
      <c r="B35" s="4" t="s">
        <v>45</v>
      </c>
    </row>
    <row r="36" spans="1:3" x14ac:dyDescent="0.25">
      <c r="A36">
        <v>3</v>
      </c>
      <c r="B36">
        <v>11</v>
      </c>
    </row>
    <row r="37" spans="1:3" x14ac:dyDescent="0.25">
      <c r="A37">
        <v>7</v>
      </c>
      <c r="B37">
        <v>18</v>
      </c>
    </row>
    <row r="38" spans="1:3" x14ac:dyDescent="0.25">
      <c r="A38">
        <v>4</v>
      </c>
      <c r="B38">
        <v>9</v>
      </c>
    </row>
    <row r="39" spans="1:3" x14ac:dyDescent="0.25">
      <c r="A39">
        <v>2</v>
      </c>
      <c r="B39">
        <v>4</v>
      </c>
    </row>
    <row r="40" spans="1:3" x14ac:dyDescent="0.25">
      <c r="A40">
        <v>0</v>
      </c>
      <c r="B40">
        <v>7</v>
      </c>
    </row>
    <row r="41" spans="1:3" x14ac:dyDescent="0.25">
      <c r="A41">
        <v>4</v>
      </c>
      <c r="B41">
        <v>6</v>
      </c>
    </row>
    <row r="42" spans="1:3" x14ac:dyDescent="0.25">
      <c r="A42">
        <v>1</v>
      </c>
      <c r="B42">
        <v>3</v>
      </c>
    </row>
    <row r="43" spans="1:3" x14ac:dyDescent="0.25">
      <c r="A43">
        <v>2</v>
      </c>
      <c r="B43">
        <v>8</v>
      </c>
    </row>
    <row r="46" spans="1:3" x14ac:dyDescent="0.25">
      <c r="A46" s="9" t="s">
        <v>2</v>
      </c>
    </row>
    <row r="47" spans="1:3" x14ac:dyDescent="0.25">
      <c r="A47" s="4" t="s">
        <v>3</v>
      </c>
      <c r="B47" s="4" t="s">
        <v>9</v>
      </c>
      <c r="C47" s="4" t="s">
        <v>10</v>
      </c>
    </row>
    <row r="48" spans="1:3" x14ac:dyDescent="0.25">
      <c r="A48" t="s">
        <v>4</v>
      </c>
      <c r="B48">
        <f>INTERCEPT(B36:B43,A36:A43)</f>
        <v>3.330798479087453</v>
      </c>
      <c r="C48" t="s">
        <v>46</v>
      </c>
    </row>
    <row r="49" spans="1:5" x14ac:dyDescent="0.25">
      <c r="A49" t="s">
        <v>5</v>
      </c>
      <c r="B49">
        <f>SLOPE(B36:B43,A36:A43)</f>
        <v>1.7110266159695817</v>
      </c>
      <c r="C49" t="s">
        <v>47</v>
      </c>
    </row>
    <row r="50" spans="1:5" x14ac:dyDescent="0.25">
      <c r="A50" t="s">
        <v>6</v>
      </c>
      <c r="B50">
        <v>8</v>
      </c>
    </row>
    <row r="51" spans="1:5" x14ac:dyDescent="0.25">
      <c r="A51" t="s">
        <v>7</v>
      </c>
      <c r="B51">
        <f>TREND(B36:B43,A36:A43,B50)</f>
        <v>17.019011406844108</v>
      </c>
      <c r="C51" t="s">
        <v>52</v>
      </c>
    </row>
    <row r="52" spans="1:5" x14ac:dyDescent="0.25">
      <c r="A52" t="s">
        <v>14</v>
      </c>
    </row>
    <row r="55" spans="1:5" x14ac:dyDescent="0.25">
      <c r="A55" s="9" t="s">
        <v>11</v>
      </c>
    </row>
    <row r="56" spans="1:5" x14ac:dyDescent="0.25">
      <c r="A56" s="4" t="s">
        <v>3</v>
      </c>
      <c r="B56" s="4" t="s">
        <v>9</v>
      </c>
      <c r="C56" s="4" t="s">
        <v>10</v>
      </c>
    </row>
    <row r="57" spans="1:5" x14ac:dyDescent="0.25">
      <c r="A57" t="s">
        <v>4</v>
      </c>
      <c r="B57">
        <f>INTERCEPT(A36:A43,B36:B43)</f>
        <v>-0.10932475884244353</v>
      </c>
      <c r="C57" t="s">
        <v>48</v>
      </c>
    </row>
    <row r="58" spans="1:5" x14ac:dyDescent="0.25">
      <c r="A58" t="s">
        <v>12</v>
      </c>
      <c r="B58">
        <f>SLOPE(A36:A43,B36:B43)</f>
        <v>0.36173633440514469</v>
      </c>
      <c r="C58" t="s">
        <v>49</v>
      </c>
    </row>
    <row r="59" spans="1:5" x14ac:dyDescent="0.25">
      <c r="A59" t="s">
        <v>8</v>
      </c>
      <c r="B59">
        <v>25</v>
      </c>
    </row>
    <row r="60" spans="1:5" x14ac:dyDescent="0.25">
      <c r="A60" t="s">
        <v>13</v>
      </c>
      <c r="B60">
        <f>TREND(A36:A43,B36:B43,B59)</f>
        <v>8.9340836012861722</v>
      </c>
      <c r="C60" t="s">
        <v>53</v>
      </c>
    </row>
    <row r="61" spans="1:5" x14ac:dyDescent="0.25">
      <c r="A61" t="s">
        <v>15</v>
      </c>
    </row>
    <row r="64" spans="1:5" x14ac:dyDescent="0.25">
      <c r="E64" s="4" t="s">
        <v>10</v>
      </c>
    </row>
    <row r="65" spans="1:6" x14ac:dyDescent="0.25">
      <c r="A65" s="4" t="s">
        <v>16</v>
      </c>
      <c r="C65" t="s">
        <v>17</v>
      </c>
      <c r="D65">
        <f>CORREL(A36:A43,B36:B43)</f>
        <v>0.78672771409838849</v>
      </c>
      <c r="E65" t="s">
        <v>50</v>
      </c>
    </row>
    <row r="66" spans="1:6" x14ac:dyDescent="0.25">
      <c r="C66" t="s">
        <v>17</v>
      </c>
      <c r="D66">
        <f>SQRT(B49*B58)</f>
        <v>0.78672771409838849</v>
      </c>
      <c r="E66" t="s">
        <v>54</v>
      </c>
    </row>
    <row r="67" spans="1:6" x14ac:dyDescent="0.25">
      <c r="A67" s="4" t="s">
        <v>18</v>
      </c>
      <c r="C67" t="s">
        <v>19</v>
      </c>
      <c r="D67">
        <f>RSQ(B36:B43,A36:A43)</f>
        <v>0.61894049613047575</v>
      </c>
      <c r="E67" t="s">
        <v>51</v>
      </c>
    </row>
    <row r="70" spans="1:6" ht="15.75" thickBot="1" x14ac:dyDescent="0.3">
      <c r="A70" s="9" t="s">
        <v>20</v>
      </c>
    </row>
    <row r="71" spans="1:6" x14ac:dyDescent="0.25">
      <c r="A71" s="6" t="s">
        <v>21</v>
      </c>
      <c r="B71" s="3"/>
    </row>
    <row r="72" spans="1:6" x14ac:dyDescent="0.25">
      <c r="A72" s="4" t="s">
        <v>22</v>
      </c>
      <c r="B72">
        <v>0.80411151635783662</v>
      </c>
    </row>
    <row r="73" spans="1:6" x14ac:dyDescent="0.25">
      <c r="A73" s="4" t="s">
        <v>23</v>
      </c>
      <c r="B73">
        <v>0.64659533073929931</v>
      </c>
    </row>
    <row r="74" spans="1:6" x14ac:dyDescent="0.25">
      <c r="A74" s="4" t="s">
        <v>24</v>
      </c>
      <c r="B74">
        <v>0.57591439688715917</v>
      </c>
    </row>
    <row r="75" spans="1:6" x14ac:dyDescent="0.25">
      <c r="A75" s="4" t="s">
        <v>25</v>
      </c>
      <c r="B75">
        <v>3.2218007387174032</v>
      </c>
    </row>
    <row r="76" spans="1:6" ht="15.75" thickBot="1" x14ac:dyDescent="0.3">
      <c r="A76" s="8" t="s">
        <v>26</v>
      </c>
      <c r="B76" s="1">
        <v>7</v>
      </c>
    </row>
    <row r="78" spans="1:6" ht="15.75" thickBot="1" x14ac:dyDescent="0.3">
      <c r="A78" s="4" t="s">
        <v>27</v>
      </c>
    </row>
    <row r="79" spans="1:6" x14ac:dyDescent="0.25">
      <c r="A79" s="2"/>
      <c r="B79" s="7" t="s">
        <v>32</v>
      </c>
      <c r="C79" s="7" t="s">
        <v>33</v>
      </c>
      <c r="D79" s="7" t="s">
        <v>34</v>
      </c>
      <c r="E79" s="7" t="s">
        <v>35</v>
      </c>
      <c r="F79" s="7" t="s">
        <v>36</v>
      </c>
    </row>
    <row r="80" spans="1:6" x14ac:dyDescent="0.25">
      <c r="A80" s="4" t="s">
        <v>28</v>
      </c>
      <c r="B80">
        <v>1</v>
      </c>
      <c r="C80">
        <v>94.957142857142799</v>
      </c>
      <c r="D80">
        <v>94.957142857142799</v>
      </c>
      <c r="E80">
        <v>9.1480869804569114</v>
      </c>
      <c r="F80">
        <v>2.926241136349296E-2</v>
      </c>
    </row>
    <row r="81" spans="1:9" x14ac:dyDescent="0.25">
      <c r="A81" s="4" t="s">
        <v>29</v>
      </c>
      <c r="B81">
        <v>5</v>
      </c>
      <c r="C81">
        <v>51.900000000000027</v>
      </c>
      <c r="D81">
        <v>10.380000000000006</v>
      </c>
    </row>
    <row r="82" spans="1:9" ht="15.75" thickBot="1" x14ac:dyDescent="0.3">
      <c r="A82" s="8" t="s">
        <v>30</v>
      </c>
      <c r="B82" s="1">
        <v>6</v>
      </c>
      <c r="C82" s="1">
        <v>146.85714285714283</v>
      </c>
      <c r="D82" s="1"/>
      <c r="E82" s="1"/>
      <c r="F82" s="1"/>
    </row>
    <row r="83" spans="1:9" ht="15.75" thickBot="1" x14ac:dyDescent="0.3"/>
    <row r="84" spans="1:9" x14ac:dyDescent="0.25">
      <c r="A84" s="2"/>
      <c r="B84" s="7" t="s">
        <v>37</v>
      </c>
      <c r="C84" s="7" t="s">
        <v>25</v>
      </c>
      <c r="D84" s="7" t="s">
        <v>38</v>
      </c>
      <c r="E84" s="7" t="s">
        <v>39</v>
      </c>
      <c r="F84" s="7" t="s">
        <v>40</v>
      </c>
      <c r="G84" s="7" t="s">
        <v>41</v>
      </c>
      <c r="H84" s="7" t="s">
        <v>42</v>
      </c>
      <c r="I84" s="7" t="s">
        <v>43</v>
      </c>
    </row>
    <row r="85" spans="1:9" x14ac:dyDescent="0.25">
      <c r="A85" s="4" t="s">
        <v>31</v>
      </c>
      <c r="B85">
        <v>2.9999999999999991</v>
      </c>
      <c r="C85">
        <v>2.0153756797269295</v>
      </c>
      <c r="D85">
        <v>1.4885562181669671</v>
      </c>
      <c r="E85">
        <v>0.19677389818588237</v>
      </c>
      <c r="F85">
        <v>-2.1806881142892376</v>
      </c>
      <c r="G85">
        <v>8.1806881142892358</v>
      </c>
      <c r="H85">
        <v>-2.1806881142892376</v>
      </c>
      <c r="I85">
        <v>8.1806881142892358</v>
      </c>
    </row>
    <row r="86" spans="1:9" ht="15.75" thickBot="1" x14ac:dyDescent="0.3">
      <c r="A86" s="1">
        <v>3</v>
      </c>
      <c r="B86" s="1">
        <v>1.7000000000000002</v>
      </c>
      <c r="C86" s="1">
        <v>0.56206142322548791</v>
      </c>
      <c r="D86" s="1">
        <v>3.0245804635448068</v>
      </c>
      <c r="E86" s="1">
        <v>2.9262411363492905E-2</v>
      </c>
      <c r="F86" s="1">
        <v>0.25517511494466572</v>
      </c>
      <c r="G86" s="1">
        <v>3.1448248850553346</v>
      </c>
      <c r="H86" s="1">
        <v>0.25517511494466572</v>
      </c>
      <c r="I86" s="1">
        <v>3.1448248850553346</v>
      </c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9" spans="1:9" x14ac:dyDescent="0.25">
      <c r="A89" s="4" t="s">
        <v>20</v>
      </c>
    </row>
    <row r="90" spans="1:9" ht="15.75" thickBot="1" x14ac:dyDescent="0.3"/>
    <row r="91" spans="1:9" x14ac:dyDescent="0.25">
      <c r="A91" s="6" t="s">
        <v>21</v>
      </c>
      <c r="B91" s="3"/>
    </row>
    <row r="92" spans="1:9" x14ac:dyDescent="0.25">
      <c r="A92" s="4" t="s">
        <v>22</v>
      </c>
      <c r="B92">
        <v>0.7867277140983886</v>
      </c>
    </row>
    <row r="93" spans="1:9" x14ac:dyDescent="0.25">
      <c r="A93" s="4" t="s">
        <v>23</v>
      </c>
      <c r="B93">
        <v>0.61894049613047586</v>
      </c>
    </row>
    <row r="94" spans="1:9" x14ac:dyDescent="0.25">
      <c r="A94" s="4" t="s">
        <v>24</v>
      </c>
      <c r="B94">
        <v>0.55543057881888858</v>
      </c>
    </row>
    <row r="95" spans="1:9" x14ac:dyDescent="0.25">
      <c r="A95" s="4" t="s">
        <v>25</v>
      </c>
      <c r="B95">
        <v>3.1425773088266</v>
      </c>
    </row>
    <row r="96" spans="1:9" ht="15.75" thickBot="1" x14ac:dyDescent="0.3">
      <c r="A96" s="8" t="s">
        <v>26</v>
      </c>
      <c r="B96" s="1">
        <v>8</v>
      </c>
    </row>
    <row r="98" spans="1:9" ht="15.75" thickBot="1" x14ac:dyDescent="0.3">
      <c r="A98" s="4" t="s">
        <v>27</v>
      </c>
    </row>
    <row r="99" spans="1:9" x14ac:dyDescent="0.25">
      <c r="A99" s="2"/>
      <c r="B99" s="7" t="s">
        <v>32</v>
      </c>
      <c r="C99" s="7" t="s">
        <v>33</v>
      </c>
      <c r="D99" s="7" t="s">
        <v>34</v>
      </c>
      <c r="E99" s="7" t="s">
        <v>35</v>
      </c>
      <c r="F99" s="7" t="s">
        <v>36</v>
      </c>
    </row>
    <row r="100" spans="1:9" x14ac:dyDescent="0.25">
      <c r="A100" s="4" t="s">
        <v>28</v>
      </c>
      <c r="B100">
        <v>1</v>
      </c>
      <c r="C100">
        <v>96.245247148288996</v>
      </c>
      <c r="D100">
        <v>96.245247148288996</v>
      </c>
      <c r="E100">
        <v>9.7455723819301898</v>
      </c>
      <c r="F100">
        <v>2.0538053596979907E-2</v>
      </c>
    </row>
    <row r="101" spans="1:9" x14ac:dyDescent="0.25">
      <c r="A101" s="4" t="s">
        <v>29</v>
      </c>
      <c r="B101">
        <v>6</v>
      </c>
      <c r="C101">
        <v>59.254752851711011</v>
      </c>
      <c r="D101">
        <v>9.8757921419518357</v>
      </c>
    </row>
    <row r="102" spans="1:9" ht="15.75" thickBot="1" x14ac:dyDescent="0.3">
      <c r="A102" s="8" t="s">
        <v>30</v>
      </c>
      <c r="B102" s="1">
        <v>7</v>
      </c>
      <c r="C102" s="1">
        <v>155.5</v>
      </c>
      <c r="D102" s="1"/>
      <c r="E102" s="1"/>
      <c r="F102" s="1"/>
    </row>
    <row r="103" spans="1:9" ht="15.75" thickBot="1" x14ac:dyDescent="0.3"/>
    <row r="104" spans="1:9" x14ac:dyDescent="0.25">
      <c r="A104" s="2"/>
      <c r="B104" s="7" t="s">
        <v>37</v>
      </c>
      <c r="C104" s="7" t="s">
        <v>25</v>
      </c>
      <c r="D104" s="7" t="s">
        <v>38</v>
      </c>
      <c r="E104" s="7" t="s">
        <v>39</v>
      </c>
      <c r="F104" s="7" t="s">
        <v>40</v>
      </c>
      <c r="G104" s="7" t="s">
        <v>41</v>
      </c>
      <c r="H104" s="7" t="s">
        <v>42</v>
      </c>
      <c r="I104" s="7" t="s">
        <v>43</v>
      </c>
    </row>
    <row r="105" spans="1:9" x14ac:dyDescent="0.25">
      <c r="A105" s="4" t="s">
        <v>31</v>
      </c>
      <c r="B105">
        <v>3.3307984790874503</v>
      </c>
      <c r="C105">
        <v>1.9280828576349678</v>
      </c>
      <c r="D105">
        <v>1.727518330396385</v>
      </c>
      <c r="E105">
        <v>0.13481651081212276</v>
      </c>
      <c r="F105">
        <v>-1.3870503152490121</v>
      </c>
      <c r="G105">
        <v>8.0486472734239136</v>
      </c>
      <c r="H105">
        <v>-1.3870503152490121</v>
      </c>
      <c r="I105">
        <v>8.0486472734239136</v>
      </c>
    </row>
    <row r="106" spans="1:9" ht="15.75" thickBot="1" x14ac:dyDescent="0.3">
      <c r="A106" s="8" t="s">
        <v>0</v>
      </c>
      <c r="B106" s="1">
        <v>1.7110266159695824</v>
      </c>
      <c r="C106" s="1">
        <v>0.54809152858766341</v>
      </c>
      <c r="D106" s="1">
        <v>3.1217899323833751</v>
      </c>
      <c r="E106" s="1">
        <v>2.0538053596979865E-2</v>
      </c>
      <c r="F106" s="1">
        <v>0.3698949591562668</v>
      </c>
      <c r="G106" s="1">
        <v>3.052158272782898</v>
      </c>
      <c r="H106" s="1">
        <v>0.3698949591562668</v>
      </c>
      <c r="I106" s="1">
        <v>3.052158272782898</v>
      </c>
    </row>
    <row r="109" spans="1:9" ht="15.75" thickBot="1" x14ac:dyDescent="0.3">
      <c r="A109" s="9" t="s">
        <v>20</v>
      </c>
    </row>
    <row r="110" spans="1:9" x14ac:dyDescent="0.25">
      <c r="A110" s="6" t="s">
        <v>21</v>
      </c>
      <c r="B110" s="3"/>
    </row>
    <row r="111" spans="1:9" x14ac:dyDescent="0.25">
      <c r="A111" s="4" t="s">
        <v>22</v>
      </c>
      <c r="B111">
        <v>0.78672771409838849</v>
      </c>
    </row>
    <row r="112" spans="1:9" x14ac:dyDescent="0.25">
      <c r="A112" s="4" t="s">
        <v>23</v>
      </c>
      <c r="B112">
        <v>0.61894049613047575</v>
      </c>
    </row>
    <row r="113" spans="1:9" x14ac:dyDescent="0.25">
      <c r="A113" s="4" t="s">
        <v>24</v>
      </c>
      <c r="B113">
        <v>0.55543057881888835</v>
      </c>
    </row>
    <row r="114" spans="1:9" x14ac:dyDescent="0.25">
      <c r="A114" s="4" t="s">
        <v>25</v>
      </c>
      <c r="B114">
        <v>1.4449527783351381</v>
      </c>
    </row>
    <row r="115" spans="1:9" ht="15.75" thickBot="1" x14ac:dyDescent="0.3">
      <c r="A115" s="8" t="s">
        <v>26</v>
      </c>
      <c r="B115" s="1">
        <v>8</v>
      </c>
    </row>
    <row r="117" spans="1:9" ht="15.75" thickBot="1" x14ac:dyDescent="0.3">
      <c r="A117" s="9" t="s">
        <v>27</v>
      </c>
    </row>
    <row r="118" spans="1:9" x14ac:dyDescent="0.25">
      <c r="A118" s="2"/>
      <c r="B118" s="7" t="s">
        <v>32</v>
      </c>
      <c r="C118" s="7" t="s">
        <v>33</v>
      </c>
      <c r="D118" s="7" t="s">
        <v>34</v>
      </c>
      <c r="E118" s="7" t="s">
        <v>35</v>
      </c>
      <c r="F118" s="7" t="s">
        <v>36</v>
      </c>
    </row>
    <row r="119" spans="1:9" x14ac:dyDescent="0.25">
      <c r="A119" s="4" t="s">
        <v>28</v>
      </c>
      <c r="B119">
        <v>1</v>
      </c>
      <c r="C119">
        <v>20.347668810289392</v>
      </c>
      <c r="D119">
        <v>20.347668810289392</v>
      </c>
      <c r="E119">
        <v>9.7455723819301863</v>
      </c>
      <c r="F119">
        <v>2.0538053596979907E-2</v>
      </c>
    </row>
    <row r="120" spans="1:9" x14ac:dyDescent="0.25">
      <c r="A120" s="4" t="s">
        <v>29</v>
      </c>
      <c r="B120">
        <v>6</v>
      </c>
      <c r="C120">
        <v>12.52733118971061</v>
      </c>
      <c r="D120">
        <v>2.087888531618435</v>
      </c>
    </row>
    <row r="121" spans="1:9" ht="15.75" thickBot="1" x14ac:dyDescent="0.3">
      <c r="A121" s="8" t="s">
        <v>30</v>
      </c>
      <c r="B121" s="1">
        <v>7</v>
      </c>
      <c r="C121" s="1">
        <v>32.875</v>
      </c>
      <c r="D121" s="1"/>
      <c r="E121" s="1"/>
      <c r="F121" s="1"/>
    </row>
    <row r="122" spans="1:9" ht="15.75" thickBot="1" x14ac:dyDescent="0.3"/>
    <row r="123" spans="1:9" x14ac:dyDescent="0.25">
      <c r="A123" s="2"/>
      <c r="B123" s="7" t="s">
        <v>37</v>
      </c>
      <c r="C123" s="7" t="s">
        <v>25</v>
      </c>
      <c r="D123" s="7" t="s">
        <v>38</v>
      </c>
      <c r="E123" s="7" t="s">
        <v>39</v>
      </c>
      <c r="F123" s="7" t="s">
        <v>40</v>
      </c>
      <c r="G123" s="7" t="s">
        <v>41</v>
      </c>
      <c r="H123" s="7" t="s">
        <v>42</v>
      </c>
      <c r="I123" s="7" t="s">
        <v>43</v>
      </c>
    </row>
    <row r="124" spans="1:9" x14ac:dyDescent="0.25">
      <c r="A124" s="4" t="s">
        <v>31</v>
      </c>
      <c r="B124">
        <v>-0.10932475884244308</v>
      </c>
      <c r="C124">
        <v>1.0839081560640078</v>
      </c>
      <c r="D124">
        <v>-0.10086164425538943</v>
      </c>
      <c r="E124">
        <v>0.92294625894984095</v>
      </c>
      <c r="F124">
        <v>-2.7615524714681552</v>
      </c>
      <c r="G124">
        <v>2.542902953783269</v>
      </c>
      <c r="H124">
        <v>-2.7615524714681552</v>
      </c>
      <c r="I124">
        <v>2.542902953783269</v>
      </c>
    </row>
    <row r="125" spans="1:9" ht="15.75" thickBot="1" x14ac:dyDescent="0.3">
      <c r="A125" s="8" t="s">
        <v>1</v>
      </c>
      <c r="B125" s="1">
        <v>0.36173633440514463</v>
      </c>
      <c r="C125" s="1">
        <v>0.11587465596346906</v>
      </c>
      <c r="D125" s="1">
        <v>3.1217899323833724</v>
      </c>
      <c r="E125" s="1">
        <v>2.0538053596979924E-2</v>
      </c>
      <c r="F125" s="1">
        <v>7.8201265480786042E-2</v>
      </c>
      <c r="G125" s="1">
        <v>0.64527140332950328</v>
      </c>
      <c r="H125" s="1">
        <v>7.8201265480786042E-2</v>
      </c>
      <c r="I125" s="1">
        <v>0.64527140332950328</v>
      </c>
    </row>
  </sheetData>
  <dataConsolidate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Shrestha</dc:creator>
  <cp:lastModifiedBy>Salim Shrestha</cp:lastModifiedBy>
  <dcterms:created xsi:type="dcterms:W3CDTF">2025-08-20T11:05:57Z</dcterms:created>
  <dcterms:modified xsi:type="dcterms:W3CDTF">2025-11-20T10:55:42Z</dcterms:modified>
</cp:coreProperties>
</file>