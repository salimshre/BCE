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46" i="1" l="1"/>
  <c r="C47" i="1"/>
  <c r="C48" i="1"/>
  <c r="B43" i="1"/>
  <c r="B41" i="1"/>
  <c r="B40" i="1"/>
  <c r="B33" i="1"/>
  <c r="B31" i="1" l="1"/>
  <c r="B30" i="1"/>
</calcChain>
</file>

<file path=xl/sharedStrings.xml><?xml version="1.0" encoding="utf-8"?>
<sst xmlns="http://schemas.openxmlformats.org/spreadsheetml/2006/main" count="49" uniqueCount="45">
  <si>
    <t>Employee Number</t>
  </si>
  <si>
    <t>Production (X)</t>
  </si>
  <si>
    <t>% Change in Production (Y)</t>
  </si>
  <si>
    <t>For Y on X</t>
  </si>
  <si>
    <t>Components</t>
  </si>
  <si>
    <t>Value</t>
  </si>
  <si>
    <t>Formula</t>
  </si>
  <si>
    <t>a</t>
  </si>
  <si>
    <t>byx</t>
  </si>
  <si>
    <t>x</t>
  </si>
  <si>
    <t>Ye</t>
  </si>
  <si>
    <t>FOR X ON Y</t>
  </si>
  <si>
    <t>value</t>
  </si>
  <si>
    <t>formula</t>
  </si>
  <si>
    <t>bxy</t>
  </si>
  <si>
    <t>y</t>
  </si>
  <si>
    <t>xe</t>
  </si>
  <si>
    <t>correlation</t>
  </si>
  <si>
    <t>r</t>
  </si>
  <si>
    <t>cofficient of determination</t>
  </si>
  <si>
    <t>r2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</si>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</sst>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103740157480313"/>
                  <c:y val="-1.694736074657334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Sheet1!$B$2:$B$21</c:f>
              <c:numCache>
                <c:formatCode>General</c:formatCode>
                <c:ptCount val="20"/>
                <c:pt idx="0">
                  <c:v>47</c:v>
                </c:pt>
                <c:pt idx="1">
                  <c:v>71</c:v>
                </c:pt>
                <c:pt idx="2">
                  <c:v>64</c:v>
                </c:pt>
                <c:pt idx="3">
                  <c:v>35</c:v>
                </c:pt>
                <c:pt idx="4">
                  <c:v>43</c:v>
                </c:pt>
                <c:pt idx="5">
                  <c:v>60</c:v>
                </c:pt>
                <c:pt idx="6">
                  <c:v>38</c:v>
                </c:pt>
                <c:pt idx="7">
                  <c:v>59</c:v>
                </c:pt>
                <c:pt idx="8">
                  <c:v>67</c:v>
                </c:pt>
                <c:pt idx="9">
                  <c:v>56</c:v>
                </c:pt>
                <c:pt idx="10">
                  <c:v>67</c:v>
                </c:pt>
                <c:pt idx="11">
                  <c:v>57</c:v>
                </c:pt>
                <c:pt idx="12">
                  <c:v>69</c:v>
                </c:pt>
                <c:pt idx="13">
                  <c:v>38</c:v>
                </c:pt>
                <c:pt idx="14">
                  <c:v>54</c:v>
                </c:pt>
                <c:pt idx="15">
                  <c:v>76</c:v>
                </c:pt>
                <c:pt idx="16">
                  <c:v>53</c:v>
                </c:pt>
                <c:pt idx="17">
                  <c:v>40</c:v>
                </c:pt>
                <c:pt idx="18">
                  <c:v>47</c:v>
                </c:pt>
                <c:pt idx="19">
                  <c:v>23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4.2</c:v>
                </c:pt>
                <c:pt idx="1">
                  <c:v>8.1</c:v>
                </c:pt>
                <c:pt idx="2">
                  <c:v>6.8</c:v>
                </c:pt>
                <c:pt idx="3">
                  <c:v>4.3</c:v>
                </c:pt>
                <c:pt idx="4">
                  <c:v>5</c:v>
                </c:pt>
                <c:pt idx="5">
                  <c:v>7.5</c:v>
                </c:pt>
                <c:pt idx="6">
                  <c:v>4.7</c:v>
                </c:pt>
                <c:pt idx="7">
                  <c:v>5.9</c:v>
                </c:pt>
                <c:pt idx="8">
                  <c:v>6.9</c:v>
                </c:pt>
                <c:pt idx="9">
                  <c:v>5.7</c:v>
                </c:pt>
                <c:pt idx="10">
                  <c:v>5.7</c:v>
                </c:pt>
                <c:pt idx="11">
                  <c:v>5.4</c:v>
                </c:pt>
                <c:pt idx="12">
                  <c:v>7.5</c:v>
                </c:pt>
                <c:pt idx="13">
                  <c:v>3.8</c:v>
                </c:pt>
                <c:pt idx="14">
                  <c:v>5.9</c:v>
                </c:pt>
                <c:pt idx="15">
                  <c:v>6.3</c:v>
                </c:pt>
                <c:pt idx="16">
                  <c:v>5.7</c:v>
                </c:pt>
                <c:pt idx="17">
                  <c:v>4</c:v>
                </c:pt>
                <c:pt idx="18">
                  <c:v>5.2</c:v>
                </c:pt>
                <c:pt idx="19">
                  <c:v>2.2000000000000002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85834608"/>
        <c:axId val="-285830256"/>
      </c:scatterChart>
      <c:valAx>
        <c:axId val="-28583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5830256"/>
        <c:crosses val="autoZero"/>
        <c:crossBetween val="midCat"/>
      </c:valAx>
      <c:valAx>
        <c:axId val="-2858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8583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5</xdr:row>
      <xdr:rowOff>4762</xdr:rowOff>
    </xdr:from>
    <xdr:to>
      <xdr:col>11</xdr:col>
      <xdr:colOff>19050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topLeftCell="A52" workbookViewId="0">
      <selection activeCell="A50" sqref="A50:I70"/>
    </sheetView>
  </sheetViews>
  <sheetFormatPr defaultRowHeight="15" x14ac:dyDescent="0.25"/>
  <cols>
    <col min="1" max="1" width="17.85546875" bestFit="1" customWidth="1"/>
    <col min="2" max="2" width="13.85546875" bestFit="1" customWidth="1"/>
    <col min="3" max="3" width="2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47</v>
      </c>
      <c r="C2">
        <v>4.2</v>
      </c>
    </row>
    <row r="3" spans="1:3" x14ac:dyDescent="0.25">
      <c r="A3">
        <v>2</v>
      </c>
      <c r="B3">
        <v>71</v>
      </c>
      <c r="C3">
        <v>8.1</v>
      </c>
    </row>
    <row r="4" spans="1:3" x14ac:dyDescent="0.25">
      <c r="A4">
        <v>3</v>
      </c>
      <c r="B4">
        <v>64</v>
      </c>
      <c r="C4">
        <v>6.8</v>
      </c>
    </row>
    <row r="5" spans="1:3" x14ac:dyDescent="0.25">
      <c r="A5">
        <v>4</v>
      </c>
      <c r="B5">
        <v>35</v>
      </c>
      <c r="C5">
        <v>4.3</v>
      </c>
    </row>
    <row r="6" spans="1:3" x14ac:dyDescent="0.25">
      <c r="A6">
        <v>5</v>
      </c>
      <c r="B6">
        <v>43</v>
      </c>
      <c r="C6">
        <v>5</v>
      </c>
    </row>
    <row r="7" spans="1:3" x14ac:dyDescent="0.25">
      <c r="A7">
        <v>6</v>
      </c>
      <c r="B7">
        <v>60</v>
      </c>
      <c r="C7">
        <v>7.5</v>
      </c>
    </row>
    <row r="8" spans="1:3" x14ac:dyDescent="0.25">
      <c r="A8">
        <v>7</v>
      </c>
      <c r="B8">
        <v>38</v>
      </c>
      <c r="C8">
        <v>4.7</v>
      </c>
    </row>
    <row r="9" spans="1:3" x14ac:dyDescent="0.25">
      <c r="A9">
        <v>8</v>
      </c>
      <c r="B9">
        <v>59</v>
      </c>
      <c r="C9">
        <v>5.9</v>
      </c>
    </row>
    <row r="10" spans="1:3" x14ac:dyDescent="0.25">
      <c r="A10">
        <v>9</v>
      </c>
      <c r="B10">
        <v>67</v>
      </c>
      <c r="C10">
        <v>6.9</v>
      </c>
    </row>
    <row r="11" spans="1:3" x14ac:dyDescent="0.25">
      <c r="A11">
        <v>10</v>
      </c>
      <c r="B11">
        <v>56</v>
      </c>
      <c r="C11">
        <v>5.7</v>
      </c>
    </row>
    <row r="12" spans="1:3" x14ac:dyDescent="0.25">
      <c r="A12">
        <v>11</v>
      </c>
      <c r="B12">
        <v>67</v>
      </c>
      <c r="C12">
        <v>5.7</v>
      </c>
    </row>
    <row r="13" spans="1:3" x14ac:dyDescent="0.25">
      <c r="A13">
        <v>12</v>
      </c>
      <c r="B13">
        <v>57</v>
      </c>
      <c r="C13">
        <v>5.4</v>
      </c>
    </row>
    <row r="14" spans="1:3" x14ac:dyDescent="0.25">
      <c r="A14">
        <v>13</v>
      </c>
      <c r="B14">
        <v>69</v>
      </c>
      <c r="C14">
        <v>7.5</v>
      </c>
    </row>
    <row r="15" spans="1:3" x14ac:dyDescent="0.25">
      <c r="A15">
        <v>14</v>
      </c>
      <c r="B15">
        <v>38</v>
      </c>
      <c r="C15">
        <v>3.8</v>
      </c>
    </row>
    <row r="16" spans="1:3" x14ac:dyDescent="0.25">
      <c r="A16">
        <v>15</v>
      </c>
      <c r="B16">
        <v>54</v>
      </c>
      <c r="C16">
        <v>5.9</v>
      </c>
    </row>
    <row r="17" spans="1:3" x14ac:dyDescent="0.25">
      <c r="A17">
        <v>16</v>
      </c>
      <c r="B17">
        <v>76</v>
      </c>
      <c r="C17">
        <v>6.3</v>
      </c>
    </row>
    <row r="18" spans="1:3" x14ac:dyDescent="0.25">
      <c r="A18">
        <v>17</v>
      </c>
      <c r="B18">
        <v>53</v>
      </c>
      <c r="C18">
        <v>5.7</v>
      </c>
    </row>
    <row r="19" spans="1:3" x14ac:dyDescent="0.25">
      <c r="A19">
        <v>18</v>
      </c>
      <c r="B19">
        <v>40</v>
      </c>
      <c r="C19">
        <v>4</v>
      </c>
    </row>
    <row r="20" spans="1:3" x14ac:dyDescent="0.25">
      <c r="A20">
        <v>19</v>
      </c>
      <c r="B20">
        <v>47</v>
      </c>
      <c r="C20">
        <v>5.2</v>
      </c>
    </row>
    <row r="21" spans="1:3" x14ac:dyDescent="0.25">
      <c r="A21">
        <v>20</v>
      </c>
      <c r="B21">
        <v>23</v>
      </c>
      <c r="C21">
        <v>2.2000000000000002</v>
      </c>
    </row>
    <row r="26" spans="1:3" x14ac:dyDescent="0.25">
      <c r="A26" t="s">
        <v>3</v>
      </c>
    </row>
    <row r="29" spans="1:3" x14ac:dyDescent="0.25">
      <c r="A29" t="s">
        <v>4</v>
      </c>
      <c r="B29" t="s">
        <v>5</v>
      </c>
      <c r="C29" t="s">
        <v>6</v>
      </c>
    </row>
    <row r="30" spans="1:3" x14ac:dyDescent="0.25">
      <c r="A30" t="s">
        <v>7</v>
      </c>
      <c r="B30">
        <f>INTERCEPT(C2:C21,B2:B21)</f>
        <v>0.67118915456874451</v>
      </c>
    </row>
    <row r="31" spans="1:3" x14ac:dyDescent="0.25">
      <c r="A31" t="s">
        <v>8</v>
      </c>
      <c r="B31">
        <f>SLOPE(C2:C21,B2:B21)</f>
        <v>9.151900085397098E-2</v>
      </c>
    </row>
    <row r="32" spans="1:3" x14ac:dyDescent="0.25">
      <c r="A32" t="s">
        <v>9</v>
      </c>
      <c r="B32">
        <v>95</v>
      </c>
    </row>
    <row r="33" spans="1:3" x14ac:dyDescent="0.25">
      <c r="A33" t="s">
        <v>10</v>
      </c>
      <c r="B33">
        <f>TREND(C2:C21,B2:B21,B32)</f>
        <v>9.3654942356959872</v>
      </c>
    </row>
    <row r="36" spans="1:3" x14ac:dyDescent="0.25">
      <c r="A36" t="s">
        <v>11</v>
      </c>
    </row>
    <row r="39" spans="1:3" x14ac:dyDescent="0.25">
      <c r="A39" t="s">
        <v>4</v>
      </c>
      <c r="B39" t="s">
        <v>12</v>
      </c>
      <c r="C39" t="s">
        <v>13</v>
      </c>
    </row>
    <row r="40" spans="1:3" x14ac:dyDescent="0.25">
      <c r="A40" t="s">
        <v>7</v>
      </c>
      <c r="B40">
        <f>INTERCEPT(B2:B21,C2:C21)</f>
        <v>5.2327307614623209</v>
      </c>
    </row>
    <row r="41" spans="1:3" x14ac:dyDescent="0.25">
      <c r="A41" t="s">
        <v>14</v>
      </c>
      <c r="B41">
        <f>SLOPE(B2:B21,C2:C21)</f>
        <v>8.6583518481114936</v>
      </c>
    </row>
    <row r="42" spans="1:3" x14ac:dyDescent="0.25">
      <c r="A42" t="s">
        <v>15</v>
      </c>
      <c r="B42">
        <v>9</v>
      </c>
    </row>
    <row r="43" spans="1:3" x14ac:dyDescent="0.25">
      <c r="A43" t="s">
        <v>16</v>
      </c>
      <c r="B43">
        <f>TREND(B2:B21,C2:C21,B42)</f>
        <v>83.157897394465778</v>
      </c>
    </row>
    <row r="46" spans="1:3" x14ac:dyDescent="0.25">
      <c r="A46" t="s">
        <v>17</v>
      </c>
      <c r="B46" t="s">
        <v>18</v>
      </c>
      <c r="C46">
        <f>CORREL(B2:B21,C2:C21)</f>
        <v>0.89017060734518583</v>
      </c>
    </row>
    <row r="47" spans="1:3" x14ac:dyDescent="0.25">
      <c r="B47" t="s">
        <v>18</v>
      </c>
      <c r="C47">
        <f>SQRT(B31*B41)</f>
        <v>0.89017060734518583</v>
      </c>
    </row>
    <row r="48" spans="1:3" x14ac:dyDescent="0.25">
      <c r="A48" t="s">
        <v>19</v>
      </c>
      <c r="B48" t="s">
        <v>20</v>
      </c>
      <c r="C48">
        <f>RSQ(C2:C21,B2:B21)</f>
        <v>0.79240371018129718</v>
      </c>
    </row>
    <row r="50" spans="1:6" x14ac:dyDescent="0.25">
      <c r="A50" t="s">
        <v>21</v>
      </c>
    </row>
    <row r="51" spans="1:6" ht="15.75" thickBot="1" x14ac:dyDescent="0.3"/>
    <row r="52" spans="1:6" x14ac:dyDescent="0.25">
      <c r="A52" s="4" t="s">
        <v>22</v>
      </c>
      <c r="B52" s="4"/>
    </row>
    <row r="53" spans="1:6" x14ac:dyDescent="0.25">
      <c r="A53" s="1" t="s">
        <v>23</v>
      </c>
      <c r="B53" s="1">
        <v>0.8937787124011195</v>
      </c>
    </row>
    <row r="54" spans="1:6" x14ac:dyDescent="0.25">
      <c r="A54" s="1" t="s">
        <v>24</v>
      </c>
      <c r="B54" s="1">
        <v>0.79884038674140312</v>
      </c>
    </row>
    <row r="55" spans="1:6" x14ac:dyDescent="0.25">
      <c r="A55" s="1" t="s">
        <v>25</v>
      </c>
      <c r="B55" s="1">
        <v>0.78700746831442692</v>
      </c>
    </row>
    <row r="56" spans="1:6" x14ac:dyDescent="0.25">
      <c r="A56" s="1" t="s">
        <v>26</v>
      </c>
      <c r="B56" s="1">
        <v>0.66806644254769376</v>
      </c>
    </row>
    <row r="57" spans="1:6" ht="15.75" thickBot="1" x14ac:dyDescent="0.3">
      <c r="A57" s="2" t="s">
        <v>27</v>
      </c>
      <c r="B57" s="2">
        <v>19</v>
      </c>
    </row>
    <row r="59" spans="1:6" ht="15.75" thickBot="1" x14ac:dyDescent="0.3">
      <c r="A59" t="s">
        <v>28</v>
      </c>
    </row>
    <row r="60" spans="1:6" x14ac:dyDescent="0.25">
      <c r="A60" s="3"/>
      <c r="B60" s="3" t="s">
        <v>33</v>
      </c>
      <c r="C60" s="3" t="s">
        <v>34</v>
      </c>
      <c r="D60" s="3" t="s">
        <v>35</v>
      </c>
      <c r="E60" s="3" t="s">
        <v>36</v>
      </c>
      <c r="F60" s="3" t="s">
        <v>37</v>
      </c>
    </row>
    <row r="61" spans="1:6" x14ac:dyDescent="0.25">
      <c r="A61" s="1" t="s">
        <v>29</v>
      </c>
      <c r="B61" s="1">
        <v>1</v>
      </c>
      <c r="C61" s="1">
        <v>30.130577618650484</v>
      </c>
      <c r="D61" s="1">
        <v>30.130577618650484</v>
      </c>
      <c r="E61" s="1">
        <v>67.510005386349462</v>
      </c>
      <c r="F61" s="1">
        <v>2.5328181298404308E-7</v>
      </c>
    </row>
    <row r="62" spans="1:6" x14ac:dyDescent="0.25">
      <c r="A62" s="1" t="s">
        <v>30</v>
      </c>
      <c r="B62" s="1">
        <v>17</v>
      </c>
      <c r="C62" s="1">
        <v>7.5873171181916277</v>
      </c>
      <c r="D62" s="1">
        <v>0.44631277165833105</v>
      </c>
      <c r="E62" s="1"/>
      <c r="F62" s="1"/>
    </row>
    <row r="63" spans="1:6" ht="15.75" thickBot="1" x14ac:dyDescent="0.3">
      <c r="A63" s="2" t="s">
        <v>31</v>
      </c>
      <c r="B63" s="2">
        <v>18</v>
      </c>
      <c r="C63" s="2">
        <v>37.717894736842112</v>
      </c>
      <c r="D63" s="2"/>
      <c r="E63" s="2"/>
      <c r="F63" s="2"/>
    </row>
    <row r="64" spans="1:6" ht="15.75" thickBot="1" x14ac:dyDescent="0.3"/>
    <row r="65" spans="1:9" x14ac:dyDescent="0.25">
      <c r="A65" s="3"/>
      <c r="B65" s="3" t="s">
        <v>38</v>
      </c>
      <c r="C65" s="3" t="s">
        <v>26</v>
      </c>
      <c r="D65" s="3" t="s">
        <v>39</v>
      </c>
      <c r="E65" s="3" t="s">
        <v>40</v>
      </c>
      <c r="F65" s="3" t="s">
        <v>41</v>
      </c>
      <c r="G65" s="3" t="s">
        <v>42</v>
      </c>
      <c r="H65" s="3" t="s">
        <v>43</v>
      </c>
      <c r="I65" s="3" t="s">
        <v>44</v>
      </c>
    </row>
    <row r="66" spans="1:9" x14ac:dyDescent="0.25">
      <c r="A66" s="1" t="s">
        <v>32</v>
      </c>
      <c r="B66" s="1">
        <v>0.78466093031180861</v>
      </c>
      <c r="C66" s="1">
        <v>0.60700979307335168</v>
      </c>
      <c r="D66" s="1">
        <v>1.2926660150555254</v>
      </c>
      <c r="E66" s="1">
        <v>0.21342038688040021</v>
      </c>
      <c r="F66" s="1">
        <v>-0.49601778701172705</v>
      </c>
      <c r="G66" s="1">
        <v>2.0653396476353443</v>
      </c>
      <c r="H66" s="1">
        <v>-0.49601778701172705</v>
      </c>
      <c r="I66" s="1">
        <v>2.0653396476353443</v>
      </c>
    </row>
    <row r="67" spans="1:9" ht="15.75" thickBot="1" x14ac:dyDescent="0.3">
      <c r="A67" s="2">
        <v>47</v>
      </c>
      <c r="B67" s="2">
        <v>9.0158743681490308E-2</v>
      </c>
      <c r="C67" s="2">
        <v>1.0972959596209914E-2</v>
      </c>
      <c r="D67" s="2">
        <v>8.2164472484370901</v>
      </c>
      <c r="E67" s="2">
        <v>2.5328181298404398E-7</v>
      </c>
      <c r="F67" s="2">
        <v>6.7007822590471056E-2</v>
      </c>
      <c r="G67" s="2">
        <v>0.11330966477250956</v>
      </c>
      <c r="H67" s="2">
        <v>6.7007822590471056E-2</v>
      </c>
      <c r="I67" s="2">
        <v>0.11330966477250956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2025-08-08T07:28:00Z</dcterms:modified>
</cp:coreProperties>
</file>