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-WIN10\Documents\GitHub\BCE\Fourth Semester\static and probability\lab9\"/>
    </mc:Choice>
  </mc:AlternateContent>
  <xr:revisionPtr revIDLastSave="0" documentId="13_ncr:1_{F5E52579-09CF-40BE-A4AE-6BE0D47F5F6A}" xr6:coauthVersionLast="47" xr6:coauthVersionMax="47" xr10:uidLastSave="{00000000-0000-0000-0000-000000000000}"/>
  <bookViews>
    <workbookView xWindow="20370" yWindow="-120" windowWidth="21840" windowHeight="132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33" i="1"/>
  <c r="B32" i="1"/>
  <c r="B29" i="1"/>
  <c r="C24" i="1" s="1"/>
  <c r="E24" i="1" s="1"/>
  <c r="B28" i="1"/>
  <c r="C21" i="1" l="1"/>
  <c r="E21" i="1" s="1"/>
  <c r="C22" i="1"/>
  <c r="E22" i="1" s="1"/>
  <c r="C26" i="1"/>
  <c r="E26" i="1" s="1"/>
  <c r="C19" i="1"/>
  <c r="C23" i="1"/>
  <c r="E23" i="1" s="1"/>
  <c r="C27" i="1"/>
  <c r="E27" i="1" s="1"/>
  <c r="C25" i="1"/>
  <c r="E25" i="1" s="1"/>
  <c r="C20" i="1"/>
  <c r="E20" i="1" s="1"/>
  <c r="E19" i="1"/>
</calcChain>
</file>

<file path=xl/sharedStrings.xml><?xml version="1.0" encoding="utf-8"?>
<sst xmlns="http://schemas.openxmlformats.org/spreadsheetml/2006/main" count="37" uniqueCount="35">
  <si>
    <t>X</t>
  </si>
  <si>
    <t>f</t>
  </si>
  <si>
    <t>Expected frequency f(x)=Np(x)</t>
  </si>
  <si>
    <t>Formula</t>
  </si>
  <si>
    <t>Rounded Expected frequency</t>
  </si>
  <si>
    <t>total</t>
  </si>
  <si>
    <t>MEAN(X)</t>
  </si>
  <si>
    <t xml:space="preserve"> =ROUND(C12,0)</t>
  </si>
  <si>
    <t>P(X=3)</t>
  </si>
  <si>
    <t>P(X&gt;3)</t>
  </si>
  <si>
    <t>P(X&gt;=5)</t>
  </si>
  <si>
    <t>P(4&lt;=X&lt;=8)</t>
  </si>
  <si>
    <t xml:space="preserve"> =$B$28*POISSON(A19,$B$29,0)</t>
  </si>
  <si>
    <t xml:space="preserve"> =$B$28*POISSON(A20,$B$29,0)</t>
  </si>
  <si>
    <t xml:space="preserve"> =$B$28*POISSON(A21,$B$29,0)</t>
  </si>
  <si>
    <t xml:space="preserve"> =$B$28*POISSON(A22,$B$29,0)</t>
  </si>
  <si>
    <t xml:space="preserve"> =$B$28*POISSON(A23,$B$29,0)</t>
  </si>
  <si>
    <t xml:space="preserve"> =$B$28*POISSON(A24,$B$29,0)</t>
  </si>
  <si>
    <t xml:space="preserve"> =$B$28*POISSON(A25,$B$29,0)</t>
  </si>
  <si>
    <t xml:space="preserve"> =$B$28*POISSON(A26,$B$29,0)</t>
  </si>
  <si>
    <t xml:space="preserve"> =$B$28*POISSON(A27,$B$29,0)</t>
  </si>
  <si>
    <t xml:space="preserve"> =ROUND(C20,0)</t>
  </si>
  <si>
    <t xml:space="preserve"> =ROUND(C21,0)</t>
  </si>
  <si>
    <t xml:space="preserve"> =ROUND(C22,0)</t>
  </si>
  <si>
    <t xml:space="preserve"> =ROUND(C23,0)</t>
  </si>
  <si>
    <t xml:space="preserve"> =ROUND(C24,0)</t>
  </si>
  <si>
    <t xml:space="preserve"> =ROUND(C25,0)</t>
  </si>
  <si>
    <t xml:space="preserve"> =ROUND(C26,0)</t>
  </si>
  <si>
    <t xml:space="preserve"> =ROUND(C27,0)</t>
  </si>
  <si>
    <t xml:space="preserve"> =SUM(B19:B27)</t>
  </si>
  <si>
    <t xml:space="preserve"> =SUMPRODUCT(A19:A27,B19:B27)/SUM(B19:B27)</t>
  </si>
  <si>
    <t xml:space="preserve"> =POISSON(3,B29,0)</t>
  </si>
  <si>
    <t xml:space="preserve"> =1-POISSON(3,B29,1)</t>
  </si>
  <si>
    <t xml:space="preserve"> =1-POISSON(5,B29,1)</t>
  </si>
  <si>
    <t xml:space="preserve"> =POISSON(8,B29,1)-POISSON(4,B29,1)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</si>
</sst>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114300</xdr:rowOff>
    </xdr:to>
    <xdr:sp macro="" textlink="">
      <xdr:nvSpPr>
        <xdr:cNvPr id="1025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4572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114300</xdr:rowOff>
    </xdr:to>
    <xdr:sp macro="" textlink="">
      <xdr:nvSpPr>
        <xdr:cNvPr id="1026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4572000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8:F35"/>
  <sheetViews>
    <sheetView tabSelected="1" workbookViewId="0">
      <selection activeCell="H35" sqref="H35"/>
    </sheetView>
  </sheetViews>
  <sheetFormatPr defaultRowHeight="15" x14ac:dyDescent="0.25"/>
  <cols>
    <col min="1" max="1" width="10.7109375" bestFit="1" customWidth="1"/>
    <col min="2" max="2" width="12" bestFit="1" customWidth="1"/>
    <col min="3" max="3" width="18.85546875" bestFit="1" customWidth="1"/>
    <col min="4" max="4" width="29.140625" bestFit="1" customWidth="1"/>
    <col min="5" max="5" width="10" bestFit="1" customWidth="1"/>
    <col min="6" max="6" width="15.28515625" bestFit="1" customWidth="1"/>
  </cols>
  <sheetData>
    <row r="18" spans="1:6" ht="45" x14ac:dyDescent="0.25">
      <c r="A18" s="3" t="s">
        <v>0</v>
      </c>
      <c r="B18" s="3" t="s">
        <v>1</v>
      </c>
      <c r="C18" s="4" t="s">
        <v>2</v>
      </c>
      <c r="D18" s="3" t="s">
        <v>3</v>
      </c>
      <c r="E18" s="4" t="s">
        <v>4</v>
      </c>
      <c r="F18" s="5" t="s">
        <v>3</v>
      </c>
    </row>
    <row r="19" spans="1:6" x14ac:dyDescent="0.25">
      <c r="A19" s="1">
        <v>0</v>
      </c>
      <c r="B19" s="1">
        <v>2110</v>
      </c>
      <c r="C19" s="1">
        <f>$B$28*POISSON(A19,$B$29,0)</f>
        <v>2393.4716506611871</v>
      </c>
      <c r="D19" s="1" t="s">
        <v>12</v>
      </c>
      <c r="E19" s="1">
        <f>ROUND(C19,0)</f>
        <v>2393</v>
      </c>
      <c r="F19" s="1" t="s">
        <v>7</v>
      </c>
    </row>
    <row r="20" spans="1:6" x14ac:dyDescent="0.25">
      <c r="A20" s="1">
        <v>1</v>
      </c>
      <c r="B20" s="1">
        <v>2610</v>
      </c>
      <c r="C20" s="1">
        <f>$B$28*POISSON(A20,$B$29,0)</f>
        <v>2466.9632529918185</v>
      </c>
      <c r="D20" s="1" t="s">
        <v>13</v>
      </c>
      <c r="E20" s="1">
        <f>ROUND(C20,0)</f>
        <v>2467</v>
      </c>
      <c r="F20" s="1" t="s">
        <v>21</v>
      </c>
    </row>
    <row r="21" spans="1:6" x14ac:dyDescent="0.25">
      <c r="A21" s="1">
        <v>2</v>
      </c>
      <c r="B21" s="1">
        <v>1800</v>
      </c>
      <c r="C21" s="1">
        <f>$B$28*POISSON(A21,$B$29,0)</f>
        <v>1271.3557083349549</v>
      </c>
      <c r="D21" s="1" t="s">
        <v>14</v>
      </c>
      <c r="E21" s="1">
        <f>ROUND(C21,0)</f>
        <v>1271</v>
      </c>
      <c r="F21" s="1" t="s">
        <v>22</v>
      </c>
    </row>
    <row r="22" spans="1:6" x14ac:dyDescent="0.25">
      <c r="A22" s="1">
        <v>3</v>
      </c>
      <c r="B22" s="1">
        <v>101</v>
      </c>
      <c r="C22" s="1">
        <f>$B$28*POISSON(A22,$B$29,0)</f>
        <v>436.79757157729495</v>
      </c>
      <c r="D22" s="1" t="s">
        <v>15</v>
      </c>
      <c r="E22" s="1">
        <f>ROUND(C22,0)</f>
        <v>437</v>
      </c>
      <c r="F22" s="1" t="s">
        <v>23</v>
      </c>
    </row>
    <row r="23" spans="1:6" x14ac:dyDescent="0.25">
      <c r="A23" s="1">
        <v>4</v>
      </c>
      <c r="B23" s="1">
        <v>50</v>
      </c>
      <c r="C23" s="1">
        <f>$B$28*POISSON(A23,$B$29,0)</f>
        <v>112.55236277600962</v>
      </c>
      <c r="D23" s="1" t="s">
        <v>16</v>
      </c>
      <c r="E23" s="1">
        <f>ROUND(C23,0)</f>
        <v>113</v>
      </c>
      <c r="F23" s="1" t="s">
        <v>24</v>
      </c>
    </row>
    <row r="24" spans="1:6" x14ac:dyDescent="0.25">
      <c r="A24" s="1">
        <v>5</v>
      </c>
      <c r="B24" s="1">
        <v>30</v>
      </c>
      <c r="C24" s="1">
        <f>$B$28*POISSON(A24,$B$29,0)</f>
        <v>23.201657135075475</v>
      </c>
      <c r="D24" s="1" t="s">
        <v>17</v>
      </c>
      <c r="E24" s="1">
        <f>ROUND(C24,0)</f>
        <v>23</v>
      </c>
      <c r="F24" s="1" t="s">
        <v>25</v>
      </c>
    </row>
    <row r="25" spans="1:6" x14ac:dyDescent="0.25">
      <c r="A25" s="1">
        <v>6</v>
      </c>
      <c r="B25" s="1">
        <v>5</v>
      </c>
      <c r="C25" s="1">
        <f>$B$28*POISSON(A25,$B$29,0)</f>
        <v>3.9856774255737775</v>
      </c>
      <c r="D25" s="1" t="s">
        <v>18</v>
      </c>
      <c r="E25" s="1">
        <f>ROUND(C25,0)</f>
        <v>4</v>
      </c>
      <c r="F25" s="1" t="s">
        <v>26</v>
      </c>
    </row>
    <row r="26" spans="1:6" x14ac:dyDescent="0.25">
      <c r="A26" s="1">
        <v>7</v>
      </c>
      <c r="B26" s="1">
        <v>2</v>
      </c>
      <c r="C26" s="1">
        <f>$B$28*POISSON(A26,$B$29,0)</f>
        <v>0.58686539185832931</v>
      </c>
      <c r="D26" s="1" t="s">
        <v>19</v>
      </c>
      <c r="E26" s="1">
        <f>ROUND(C26,0)</f>
        <v>1</v>
      </c>
      <c r="F26" s="1" t="s">
        <v>27</v>
      </c>
    </row>
    <row r="27" spans="1:6" x14ac:dyDescent="0.25">
      <c r="A27" s="1">
        <v>8</v>
      </c>
      <c r="B27" s="1">
        <v>1</v>
      </c>
      <c r="C27" s="1">
        <f>$B$28*POISSON(A27,$B$29,0)</f>
        <v>7.56106384092326E-2</v>
      </c>
      <c r="D27" s="1" t="s">
        <v>20</v>
      </c>
      <c r="E27" s="1">
        <f>ROUND(C27,0)</f>
        <v>0</v>
      </c>
      <c r="F27" s="1" t="s">
        <v>28</v>
      </c>
    </row>
    <row r="28" spans="1:6" x14ac:dyDescent="0.25">
      <c r="A28" s="3" t="s">
        <v>5</v>
      </c>
      <c r="B28" s="1">
        <f>SUM(B19:B27)</f>
        <v>6709</v>
      </c>
      <c r="C28" t="s">
        <v>29</v>
      </c>
    </row>
    <row r="29" spans="1:6" x14ac:dyDescent="0.25">
      <c r="A29" s="3" t="s">
        <v>6</v>
      </c>
      <c r="B29" s="1">
        <f>SUMPRODUCT(A19:A27,B19:B27)/SUM(B19:B27)</f>
        <v>1.0307050231032941</v>
      </c>
      <c r="C29" t="s">
        <v>30</v>
      </c>
    </row>
    <row r="31" spans="1:6" x14ac:dyDescent="0.25">
      <c r="C31" s="2" t="s">
        <v>3</v>
      </c>
    </row>
    <row r="32" spans="1:6" x14ac:dyDescent="0.25">
      <c r="A32" s="3" t="s">
        <v>8</v>
      </c>
      <c r="B32" s="1">
        <f>POISSON(3,B29,0)</f>
        <v>6.5106211294871805E-2</v>
      </c>
      <c r="C32" t="s">
        <v>31</v>
      </c>
    </row>
    <row r="33" spans="1:3" x14ac:dyDescent="0.25">
      <c r="A33" s="3" t="s">
        <v>9</v>
      </c>
      <c r="B33" s="1">
        <f>1-POISSON(3,B29,1)</f>
        <v>2.0928874114584106E-2</v>
      </c>
      <c r="C33" t="s">
        <v>32</v>
      </c>
    </row>
    <row r="34" spans="1:3" x14ac:dyDescent="0.25">
      <c r="A34" s="3" t="s">
        <v>10</v>
      </c>
      <c r="B34" s="1">
        <f>1-POISSON(5,B29,1)</f>
        <v>6.9426092169622144E-4</v>
      </c>
      <c r="C34" t="s">
        <v>33</v>
      </c>
    </row>
    <row r="35" spans="1:3" x14ac:dyDescent="0.25">
      <c r="A35" s="3" t="s">
        <v>11</v>
      </c>
      <c r="B35" s="1">
        <f>POISSON(8,B29,1)-POISSON(4,B29,1)</f>
        <v>4.1511120272643698E-3</v>
      </c>
      <c r="C35" t="s">
        <v>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KCCUSER</dc:creator>
  <cp:lastModifiedBy>Salim Shrestha</cp:lastModifiedBy>
  <dcterms:created xsi:type="dcterms:W3CDTF">2025-11-14T06:52:13Z</dcterms:created>
  <dcterms:modified xsi:type="dcterms:W3CDTF">2025-11-20T14:38:50Z</dcterms:modified>
</cp:coreProperties>
</file>