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52" i="2"/>
  <c r="B51"/>
  <c r="B50"/>
  <c r="B49"/>
  <c r="B48"/>
  <c r="E31"/>
  <c r="E40"/>
  <c r="E32"/>
  <c r="E33"/>
  <c r="E34"/>
  <c r="E35"/>
  <c r="E36"/>
  <c r="E37"/>
  <c r="E38"/>
  <c r="E39"/>
  <c r="C32"/>
  <c r="C33"/>
  <c r="C34"/>
  <c r="C35"/>
  <c r="C36"/>
  <c r="C37"/>
  <c r="C38"/>
  <c r="C39"/>
  <c r="C31"/>
  <c r="B47"/>
  <c r="B46"/>
  <c r="B43"/>
  <c r="B45"/>
  <c r="B40"/>
  <c r="E18" i="1"/>
  <c r="E19"/>
  <c r="E20"/>
  <c r="E21"/>
  <c r="E22"/>
  <c r="C18"/>
  <c r="C19"/>
  <c r="C20"/>
  <c r="C21"/>
  <c r="C22"/>
  <c r="B28"/>
  <c r="B29" s="1"/>
  <c r="B30" s="1"/>
  <c r="B23"/>
  <c r="B26" s="1"/>
  <c r="B9"/>
  <c r="B13"/>
  <c r="B12"/>
  <c r="B11"/>
  <c r="B10"/>
  <c r="B8"/>
  <c r="B7"/>
  <c r="B6"/>
</calcChain>
</file>

<file path=xl/sharedStrings.xml><?xml version="1.0" encoding="utf-8"?>
<sst xmlns="http://schemas.openxmlformats.org/spreadsheetml/2006/main" count="71" uniqueCount="52">
  <si>
    <t>Lab work 1:</t>
  </si>
  <si>
    <t>Formula</t>
  </si>
  <si>
    <t>n</t>
  </si>
  <si>
    <t>p</t>
  </si>
  <si>
    <t>q</t>
  </si>
  <si>
    <t xml:space="preserve"> =1-B5</t>
  </si>
  <si>
    <t>P(X=5)</t>
  </si>
  <si>
    <t>P(X&lt;=5)</t>
  </si>
  <si>
    <t>P(X&lt;5)</t>
  </si>
  <si>
    <t>P(X&gt;=6)</t>
  </si>
  <si>
    <t>P(X&gt;6)</t>
  </si>
  <si>
    <t>P(3&lt;X&lt;8)</t>
  </si>
  <si>
    <t>P(3&lt;=X&lt;=8)</t>
  </si>
  <si>
    <t xml:space="preserve"> =BINOMDIST(5,B4,B5,0)</t>
  </si>
  <si>
    <t xml:space="preserve"> =BINOMDIST(5,B4,B5,1)</t>
  </si>
  <si>
    <t xml:space="preserve"> =1-B8</t>
  </si>
  <si>
    <t xml:space="preserve"> =1-BINOMDIST(6,B4,B5,1)</t>
  </si>
  <si>
    <t xml:space="preserve"> =BINOMDIST(7,B4,B5,1)-BINOMDIST(3,B4,B5,1)</t>
  </si>
  <si>
    <t xml:space="preserve"> =BINOMDIST(8,B4,B5,1)-BINOMDIST(2,B4,B5,1)</t>
  </si>
  <si>
    <t>Lab work 2;</t>
  </si>
  <si>
    <t>X</t>
  </si>
  <si>
    <t>f</t>
  </si>
  <si>
    <t>expected frequency f(x)=Np(x)</t>
  </si>
  <si>
    <t xml:space="preserve"> =BINOMDIST(4,B4,B5,1)</t>
  </si>
  <si>
    <t>formula</t>
  </si>
  <si>
    <t>Total</t>
  </si>
  <si>
    <t>N</t>
  </si>
  <si>
    <t>np</t>
  </si>
  <si>
    <t xml:space="preserve"> =SUMPRODUCT(B18:B22,A18:A22)/B23</t>
  </si>
  <si>
    <t xml:space="preserve"> =B28/B27</t>
  </si>
  <si>
    <t xml:space="preserve"> =1-B29</t>
  </si>
  <si>
    <t xml:space="preserve"> =$B$26*BINOMDIST(A18,$B$27,$B$29,0)</t>
  </si>
  <si>
    <t>Rounded expected frequency</t>
  </si>
  <si>
    <t xml:space="preserve"> =ROUND(C18,0)</t>
  </si>
  <si>
    <t xml:space="preserve"> =SUMPRODUCT(B31:B39,A31:A39)/B40</t>
  </si>
  <si>
    <t xml:space="preserve"> =B40</t>
  </si>
  <si>
    <t xml:space="preserve"> =B45/B44</t>
  </si>
  <si>
    <t xml:space="preserve"> =1-B46</t>
  </si>
  <si>
    <t xml:space="preserve"> =$B$43*BINOMDIST(A31,$B$44,$B$46,0)</t>
  </si>
  <si>
    <t xml:space="preserve"> expected frequency f(x)=Np(x)</t>
  </si>
  <si>
    <t xml:space="preserve"> Rounded expected frequency</t>
  </si>
  <si>
    <t xml:space="preserve"> =ROUND(C31,0)</t>
  </si>
  <si>
    <t>P(X&lt;3)</t>
  </si>
  <si>
    <t>P(X&lt;=3)</t>
  </si>
  <si>
    <t>P(X&gt;3)</t>
  </si>
  <si>
    <t>P(X&gt;4)</t>
  </si>
  <si>
    <t>P(4&lt;X&lt;7)</t>
  </si>
  <si>
    <t xml:space="preserve"> =BINOMDIST(2,B44,B46,1)</t>
  </si>
  <si>
    <t xml:space="preserve"> =BINOMDIST(3,B44,B46,1)</t>
  </si>
  <si>
    <t xml:space="preserve"> =1-B49</t>
  </si>
  <si>
    <t xml:space="preserve"> =1-BINOMDIST(4,B44,B46,1)</t>
  </si>
  <si>
    <t xml:space="preserve"> =BINOMDIST(6,B44,B46,1)-BINOMDIST(3,B44,B46,1)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</si>
</sst>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zoomScale="80" zoomScaleNormal="80" workbookViewId="0">
      <selection activeCell="C32" sqref="C32"/>
    </sheetView>
  </sheetViews>
  <sheetFormatPr defaultRowHeight="15"/>
  <cols>
    <col min="1" max="1" width="10.85546875" bestFit="1" customWidth="1"/>
    <col min="2" max="2" width="12" bestFit="1" customWidth="1"/>
    <col min="3" max="3" width="43.42578125" bestFit="1" customWidth="1"/>
    <col min="4" max="4" width="37.28515625" bestFit="1" customWidth="1"/>
    <col min="5" max="5" width="28.42578125" bestFit="1" customWidth="1"/>
  </cols>
  <sheetData>
    <row r="1" spans="1:3">
      <c r="A1" t="s">
        <v>0</v>
      </c>
    </row>
    <row r="3" spans="1:3">
      <c r="C3" t="s">
        <v>1</v>
      </c>
    </row>
    <row r="4" spans="1:3">
      <c r="A4" t="s">
        <v>2</v>
      </c>
      <c r="B4">
        <v>10</v>
      </c>
    </row>
    <row r="5" spans="1:3">
      <c r="A5" t="s">
        <v>3</v>
      </c>
      <c r="B5">
        <v>0.32</v>
      </c>
    </row>
    <row r="6" spans="1:3">
      <c r="A6" t="s">
        <v>4</v>
      </c>
      <c r="B6">
        <f>1-B5</f>
        <v>0.67999999999999994</v>
      </c>
      <c r="C6" t="s">
        <v>5</v>
      </c>
    </row>
    <row r="7" spans="1:3">
      <c r="A7" t="s">
        <v>6</v>
      </c>
      <c r="B7">
        <f>BINOMDIST(5,B4,B5,0)</f>
        <v>0.12294050590073283</v>
      </c>
      <c r="C7" t="s">
        <v>13</v>
      </c>
    </row>
    <row r="8" spans="1:3">
      <c r="A8" t="s">
        <v>7</v>
      </c>
      <c r="B8">
        <f>BINOMDIST(5,B4,B5,1)</f>
        <v>0.93628509887189137</v>
      </c>
      <c r="C8" t="s">
        <v>14</v>
      </c>
    </row>
    <row r="9" spans="1:3">
      <c r="A9" t="s">
        <v>8</v>
      </c>
      <c r="B9">
        <f>BINOMDIST(4,B4,B5,1)</f>
        <v>0.81334459297115858</v>
      </c>
      <c r="C9" t="s">
        <v>23</v>
      </c>
    </row>
    <row r="10" spans="1:3">
      <c r="A10" t="s">
        <v>9</v>
      </c>
      <c r="B10">
        <f>1-B8</f>
        <v>6.3714901128108625E-2</v>
      </c>
      <c r="C10" t="s">
        <v>15</v>
      </c>
    </row>
    <row r="11" spans="1:3">
      <c r="A11" t="s">
        <v>10</v>
      </c>
      <c r="B11">
        <f>1-BINOMDIST(6,B4,B5,1)</f>
        <v>1.5502938029781976E-2</v>
      </c>
      <c r="C11" t="s">
        <v>16</v>
      </c>
    </row>
    <row r="12" spans="1:3">
      <c r="A12" t="s">
        <v>11</v>
      </c>
      <c r="B12">
        <f>BINOMDIST(7,B4,B5,1)-BINOMDIST(3,B4,B5,1)</f>
        <v>0.40182417637037282</v>
      </c>
      <c r="C12" t="s">
        <v>17</v>
      </c>
    </row>
    <row r="13" spans="1:3">
      <c r="A13" t="s">
        <v>12</v>
      </c>
      <c r="B13">
        <f>BINOMDIST(8,B4,B5,1)-BINOMDIST(2,B4,B5,1)</f>
        <v>0.66847071728830465</v>
      </c>
      <c r="C13" t="s">
        <v>18</v>
      </c>
    </row>
    <row r="16" spans="1:3">
      <c r="A16" t="s">
        <v>19</v>
      </c>
    </row>
    <row r="17" spans="1:6">
      <c r="A17" t="s">
        <v>20</v>
      </c>
      <c r="B17" t="s">
        <v>21</v>
      </c>
      <c r="C17" t="s">
        <v>22</v>
      </c>
      <c r="D17" t="s">
        <v>24</v>
      </c>
      <c r="E17" t="s">
        <v>32</v>
      </c>
      <c r="F17" t="s">
        <v>1</v>
      </c>
    </row>
    <row r="18" spans="1:6">
      <c r="A18">
        <v>0</v>
      </c>
      <c r="B18">
        <v>28</v>
      </c>
      <c r="C18">
        <f>$B$26*BINOMDIST(A18,$B$27,$B$29,0)</f>
        <v>29.62962962962964</v>
      </c>
      <c r="D18" t="s">
        <v>31</v>
      </c>
      <c r="E18">
        <f>ROUND(C18,0)</f>
        <v>30</v>
      </c>
      <c r="F18" t="s">
        <v>33</v>
      </c>
    </row>
    <row r="19" spans="1:6">
      <c r="A19">
        <v>1</v>
      </c>
      <c r="B19">
        <v>62</v>
      </c>
      <c r="C19">
        <f t="shared" ref="C19:C22" si="0">$B$26*BINOMDIST(A19,$B$27,$B$29,0)</f>
        <v>59.259259259259267</v>
      </c>
      <c r="E19">
        <f t="shared" ref="E19:E22" si="1">ROUND(C19,0)</f>
        <v>59</v>
      </c>
    </row>
    <row r="20" spans="1:6">
      <c r="A20">
        <v>2</v>
      </c>
      <c r="B20">
        <v>46</v>
      </c>
      <c r="C20">
        <f t="shared" si="0"/>
        <v>44.444444444444443</v>
      </c>
      <c r="E20">
        <f t="shared" si="1"/>
        <v>44</v>
      </c>
    </row>
    <row r="21" spans="1:6">
      <c r="A21">
        <v>3</v>
      </c>
      <c r="B21">
        <v>10</v>
      </c>
      <c r="C21">
        <f t="shared" si="0"/>
        <v>14.814814814814817</v>
      </c>
      <c r="E21">
        <f t="shared" si="1"/>
        <v>15</v>
      </c>
    </row>
    <row r="22" spans="1:6">
      <c r="A22">
        <v>4</v>
      </c>
      <c r="B22">
        <v>4</v>
      </c>
      <c r="C22">
        <f t="shared" si="0"/>
        <v>1.8518518518518512</v>
      </c>
      <c r="E22">
        <f t="shared" si="1"/>
        <v>2</v>
      </c>
    </row>
    <row r="23" spans="1:6">
      <c r="A23" t="s">
        <v>25</v>
      </c>
      <c r="B23">
        <f>SUM(B18:B22)</f>
        <v>150</v>
      </c>
    </row>
    <row r="25" spans="1:6">
      <c r="C25" t="s">
        <v>1</v>
      </c>
    </row>
    <row r="26" spans="1:6">
      <c r="A26" t="s">
        <v>26</v>
      </c>
      <c r="B26">
        <f>B23</f>
        <v>150</v>
      </c>
      <c r="C26" t="s">
        <v>30</v>
      </c>
    </row>
    <row r="27" spans="1:6">
      <c r="A27" t="s">
        <v>2</v>
      </c>
      <c r="B27">
        <v>4</v>
      </c>
    </row>
    <row r="28" spans="1:6">
      <c r="A28" t="s">
        <v>27</v>
      </c>
      <c r="B28">
        <f>SUMPRODUCT(B18:B22,A18:A22)/B23</f>
        <v>1.3333333333333333</v>
      </c>
      <c r="C28" t="s">
        <v>28</v>
      </c>
    </row>
    <row r="29" spans="1:6">
      <c r="A29" t="s">
        <v>3</v>
      </c>
      <c r="B29">
        <f>B28/B27</f>
        <v>0.33333333333333331</v>
      </c>
      <c r="C29" t="s">
        <v>29</v>
      </c>
    </row>
    <row r="30" spans="1:6">
      <c r="A30" t="s">
        <v>4</v>
      </c>
      <c r="B30">
        <f>1-B29</f>
        <v>0.66666666666666674</v>
      </c>
      <c r="C3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7:J52"/>
  <sheetViews>
    <sheetView tabSelected="1" topLeftCell="A30" workbookViewId="0">
      <selection activeCell="C54" sqref="C54"/>
    </sheetView>
  </sheetViews>
  <sheetFormatPr defaultRowHeight="15"/>
  <cols>
    <col min="1" max="1" width="8.7109375" bestFit="1" customWidth="1"/>
    <col min="2" max="2" width="12" bestFit="1" customWidth="1"/>
    <col min="3" max="3" width="47.5703125" bestFit="1" customWidth="1"/>
    <col min="4" max="4" width="37.28515625" bestFit="1" customWidth="1"/>
    <col min="5" max="5" width="28.140625" bestFit="1" customWidth="1"/>
    <col min="6" max="6" width="15.28515625" bestFit="1" customWidth="1"/>
  </cols>
  <sheetData>
    <row r="27" spans="1:10">
      <c r="A27" t="s">
        <v>20</v>
      </c>
      <c r="B27">
        <v>0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</row>
    <row r="28" spans="1:10">
      <c r="A28" t="s">
        <v>21</v>
      </c>
      <c r="B28">
        <v>20</v>
      </c>
      <c r="C28">
        <v>100</v>
      </c>
      <c r="D28">
        <v>190</v>
      </c>
      <c r="E28">
        <v>280</v>
      </c>
      <c r="F28">
        <v>350</v>
      </c>
      <c r="G28">
        <v>300</v>
      </c>
      <c r="H28">
        <v>220</v>
      </c>
      <c r="I28">
        <v>120</v>
      </c>
      <c r="J28">
        <v>3</v>
      </c>
    </row>
    <row r="30" spans="1:10">
      <c r="A30" t="s">
        <v>20</v>
      </c>
      <c r="B30" t="s">
        <v>21</v>
      </c>
      <c r="C30" t="s">
        <v>39</v>
      </c>
      <c r="D30" t="s">
        <v>1</v>
      </c>
      <c r="E30" t="s">
        <v>40</v>
      </c>
      <c r="F30" t="s">
        <v>1</v>
      </c>
    </row>
    <row r="31" spans="1:10">
      <c r="A31">
        <v>0</v>
      </c>
      <c r="B31">
        <v>20</v>
      </c>
      <c r="C31">
        <f>$B$43*BINOMDIST(A31,$B$44,$B$46,0)</f>
        <v>5.6429781117504652</v>
      </c>
      <c r="D31" t="s">
        <v>38</v>
      </c>
      <c r="E31">
        <f>ROUND(C31,0)</f>
        <v>6</v>
      </c>
      <c r="F31" t="s">
        <v>41</v>
      </c>
    </row>
    <row r="32" spans="1:10">
      <c r="A32">
        <v>1</v>
      </c>
      <c r="B32">
        <v>100</v>
      </c>
      <c r="C32">
        <f t="shared" ref="C32:C39" si="0">$B$43*BINOMDIST(A32,$B$44,$B$46,0)</f>
        <v>46.18227709603832</v>
      </c>
      <c r="E32">
        <f t="shared" ref="E32:E39" si="1">ROUND(C32,0)</f>
        <v>46</v>
      </c>
    </row>
    <row r="33" spans="1:5">
      <c r="A33">
        <v>2</v>
      </c>
      <c r="B33">
        <v>190</v>
      </c>
      <c r="C33">
        <f t="shared" si="0"/>
        <v>165.35615955760417</v>
      </c>
      <c r="E33">
        <f t="shared" si="1"/>
        <v>165</v>
      </c>
    </row>
    <row r="34" spans="1:5">
      <c r="A34">
        <v>3</v>
      </c>
      <c r="B34">
        <v>280</v>
      </c>
      <c r="C34">
        <f t="shared" si="0"/>
        <v>338.31975904373718</v>
      </c>
      <c r="E34">
        <f t="shared" si="1"/>
        <v>338</v>
      </c>
    </row>
    <row r="35" spans="1:5">
      <c r="A35">
        <v>4</v>
      </c>
      <c r="B35">
        <v>350</v>
      </c>
      <c r="C35">
        <f t="shared" si="0"/>
        <v>432.62774299442748</v>
      </c>
      <c r="E35">
        <f t="shared" si="1"/>
        <v>433</v>
      </c>
    </row>
    <row r="36" spans="1:5">
      <c r="A36">
        <v>5</v>
      </c>
      <c r="B36">
        <v>300</v>
      </c>
      <c r="C36">
        <f t="shared" si="0"/>
        <v>354.063650624449</v>
      </c>
      <c r="E36">
        <f t="shared" si="1"/>
        <v>354</v>
      </c>
    </row>
    <row r="37" spans="1:5">
      <c r="A37">
        <v>6</v>
      </c>
      <c r="B37">
        <v>220</v>
      </c>
      <c r="C37">
        <f t="shared" si="0"/>
        <v>181.10412289129158</v>
      </c>
      <c r="E37">
        <f t="shared" si="1"/>
        <v>181</v>
      </c>
    </row>
    <row r="38" spans="1:5">
      <c r="A38">
        <v>7</v>
      </c>
      <c r="B38">
        <v>120</v>
      </c>
      <c r="C38">
        <f t="shared" si="0"/>
        <v>52.934313235775079</v>
      </c>
      <c r="E38">
        <f t="shared" si="1"/>
        <v>53</v>
      </c>
    </row>
    <row r="39" spans="1:5">
      <c r="A39">
        <v>8</v>
      </c>
      <c r="B39">
        <v>3</v>
      </c>
      <c r="C39">
        <f t="shared" si="0"/>
        <v>6.768996444926187</v>
      </c>
      <c r="E39">
        <f t="shared" si="1"/>
        <v>7</v>
      </c>
    </row>
    <row r="40" spans="1:5">
      <c r="A40" t="s">
        <v>25</v>
      </c>
      <c r="B40">
        <f>SUM(B31:B39)</f>
        <v>1583</v>
      </c>
      <c r="E40">
        <f>SUM(E31:E39)</f>
        <v>1583</v>
      </c>
    </row>
    <row r="42" spans="1:5">
      <c r="C42" t="s">
        <v>1</v>
      </c>
    </row>
    <row r="43" spans="1:5">
      <c r="A43" t="s">
        <v>26</v>
      </c>
      <c r="B43">
        <f>B40</f>
        <v>1583</v>
      </c>
      <c r="C43" t="s">
        <v>35</v>
      </c>
    </row>
    <row r="44" spans="1:5">
      <c r="A44" t="s">
        <v>2</v>
      </c>
      <c r="B44">
        <v>8</v>
      </c>
    </row>
    <row r="45" spans="1:5">
      <c r="A45" t="s">
        <v>27</v>
      </c>
      <c r="B45">
        <f>SUMPRODUCT(B31:B39,A31:A39)/B40</f>
        <v>4.045483259633607</v>
      </c>
      <c r="C45" t="s">
        <v>34</v>
      </c>
    </row>
    <row r="46" spans="1:5">
      <c r="A46" t="s">
        <v>3</v>
      </c>
      <c r="B46">
        <f>B45/B44</f>
        <v>0.50568540745420087</v>
      </c>
      <c r="C46" t="s">
        <v>36</v>
      </c>
    </row>
    <row r="47" spans="1:5">
      <c r="A47" t="s">
        <v>4</v>
      </c>
      <c r="B47">
        <f>1-B46</f>
        <v>0.49431459254579913</v>
      </c>
      <c r="C47" t="s">
        <v>37</v>
      </c>
    </row>
    <row r="48" spans="1:5">
      <c r="A48" t="s">
        <v>42</v>
      </c>
      <c r="B48">
        <f>BINOMDIST(2,B44,B46,1)</f>
        <v>0.13719609271345101</v>
      </c>
      <c r="C48" t="s">
        <v>47</v>
      </c>
    </row>
    <row r="49" spans="1:3">
      <c r="A49" t="s">
        <v>43</v>
      </c>
      <c r="B49">
        <f>BINOMDIST(3,B44,B46,1)</f>
        <v>0.35091672382130773</v>
      </c>
      <c r="C49" t="s">
        <v>48</v>
      </c>
    </row>
    <row r="50" spans="1:3">
      <c r="A50" t="s">
        <v>44</v>
      </c>
      <c r="B50">
        <f>1-B49</f>
        <v>0.64908327617869221</v>
      </c>
      <c r="C50" t="s">
        <v>49</v>
      </c>
    </row>
    <row r="51" spans="1:3">
      <c r="A51" t="s">
        <v>45</v>
      </c>
      <c r="B51">
        <f>1-BINOMDIST(4,B44,B46,1)</f>
        <v>0.37578716563262304</v>
      </c>
      <c r="C51" t="s">
        <v>50</v>
      </c>
    </row>
    <row r="52" spans="1:3">
      <c r="A52" t="s">
        <v>46</v>
      </c>
      <c r="B52">
        <f>BINOMDIST(6,B44,B46,1)-BINOMDIST(3,B44,B46,1)</f>
        <v>0.611367982634345</v>
      </c>
      <c r="C5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KCCUSER</dc:creator>
  <cp:lastModifiedBy>KCCUSER</cp:lastModifiedBy>
  <dcterms:created xsi:type="dcterms:W3CDTF">2025-11-07T06:35:58Z</dcterms:created>
  <dcterms:modified xsi:type="dcterms:W3CDTF">2025-11-07T07:52:51Z</dcterms:modified>
</cp:coreProperties>
</file>