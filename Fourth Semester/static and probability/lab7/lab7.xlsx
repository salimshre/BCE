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R-WIN10\Documents\GitHub\BCE\Fourth Semester\static and probability\lab7\"/>
    </mc:Choice>
  </mc:AlternateContent>
  <xr:revisionPtr revIDLastSave="0" documentId="13_ncr:1_{BB3EBC78-7DA5-45BC-90DE-960FD55CF9E1}" xr6:coauthVersionLast="47" xr6:coauthVersionMax="47" xr10:uidLastSave="{00000000-0000-0000-0000-000000000000}"/>
  <bookViews>
    <workbookView xWindow="20370" yWindow="-120" windowWidth="21840" windowHeight="132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 a="1"/>
  <c r="B31" i="1" s="1"/>
  <c r="B30" i="1"/>
  <c r="B29" i="1"/>
  <c r="D25" i="1"/>
  <c r="C25" i="1"/>
  <c r="B25" i="1"/>
  <c r="D20" i="1"/>
  <c r="C20" i="1"/>
  <c r="D21" i="1"/>
  <c r="D22" i="1"/>
  <c r="D23" i="1"/>
  <c r="D24" i="1"/>
  <c r="C21" i="1"/>
  <c r="C22" i="1"/>
  <c r="C23" i="1"/>
  <c r="C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<sst xmlns="http://schemas.openxmlformats.org/spreadsheetml/2006/main" count="26" uniqueCount="26">
  <si>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>X</t>
  </si>
  <si>
    <t>P(X)</t>
  </si>
  <si>
    <t>XP(X=x)</t>
  </si>
  <si>
    <t>x^2 p(X=x)</t>
  </si>
  <si>
    <t>Total</t>
  </si>
  <si>
    <t>Value</t>
  </si>
  <si>
    <t>Formula</t>
  </si>
  <si>
    <t>E(X)</t>
  </si>
  <si>
    <t>E(4X+5)</t>
  </si>
  <si>
    <t>E(X^2)</t>
  </si>
  <si>
    <t>V(X)</t>
  </si>
  <si>
    <t>V(4X+5)</t>
  </si>
  <si>
    <t>σX</t>
  </si>
  <si>
    <t>σ(4X+5)</t>
  </si>
  <si>
    <t xml:space="preserve"> =A20*B20</t>
  </si>
  <si>
    <t xml:space="preserve"> =A20^2*B20</t>
  </si>
  <si>
    <t xml:space="preserve"> =SUM(B20:B24)</t>
  </si>
  <si>
    <t xml:space="preserve"> =SUM(C20:C24)</t>
  </si>
  <si>
    <t xml:space="preserve"> =SUM(D20:D24)</t>
  </si>
  <si>
    <t xml:space="preserve"> =SUMPRODUCT(A20:A24,B20:B24)</t>
  </si>
  <si>
    <t xml:space="preserve"> =4*B29+5</t>
  </si>
  <si>
    <t xml:space="preserve"> =SUMPRODUCT((A20:A24)^2,B20:B24)</t>
  </si>
  <si>
    <t xml:space="preserve"> =B31-(B29)^2</t>
  </si>
  <si>
    <t xml:space="preserve"> =4^2*B32</t>
  </si>
  <si>
    <t xml:space="preserve"> =SQRT(B33)</t>
  </si>
  <si>
    <t xml:space="preserve"> =SQRT(B32)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</si>
</sst>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8:D35"/>
  <sheetViews>
    <sheetView tabSelected="1" topLeftCell="A12" workbookViewId="0">
      <selection activeCell="E38" sqref="E38"/>
    </sheetView>
  </sheetViews>
  <sheetFormatPr defaultRowHeight="15" x14ac:dyDescent="0.25"/>
  <cols>
    <col min="1" max="1" width="7.85546875" bestFit="1" customWidth="1"/>
    <col min="2" max="2" width="12" bestFit="1" customWidth="1"/>
    <col min="3" max="3" width="35.140625" bestFit="1" customWidth="1"/>
    <col min="4" max="4" width="15.140625" bestFit="1" customWidth="1"/>
  </cols>
  <sheetData>
    <row r="18" spans="1:4" x14ac:dyDescent="0.25">
      <c r="A18" s="1" t="s">
        <v>0</v>
      </c>
      <c r="B18" s="1" t="s">
        <v>1</v>
      </c>
      <c r="C18" s="1" t="s">
        <v>2</v>
      </c>
      <c r="D18" s="1" t="s">
        <v>3</v>
      </c>
    </row>
    <row r="19" spans="1:4" x14ac:dyDescent="0.25">
      <c r="C19" t="s">
        <v>14</v>
      </c>
      <c r="D19" t="s">
        <v>15</v>
      </c>
    </row>
    <row r="20" spans="1:4" x14ac:dyDescent="0.25">
      <c r="A20">
        <v>-2</v>
      </c>
      <c r="B20">
        <v>0.2</v>
      </c>
      <c r="C20">
        <f>A20*B20</f>
        <v>-0.4</v>
      </c>
      <c r="D20">
        <f>A20^2*B20</f>
        <v>0.8</v>
      </c>
    </row>
    <row r="21" spans="1:4" x14ac:dyDescent="0.25">
      <c r="A21">
        <v>-1</v>
      </c>
      <c r="B21">
        <v>0.1</v>
      </c>
      <c r="C21">
        <f t="shared" ref="C21:C24" si="0">A21*B21</f>
        <v>-0.1</v>
      </c>
      <c r="D21">
        <f t="shared" ref="D21:D24" si="1">A21^2*B21</f>
        <v>0.1</v>
      </c>
    </row>
    <row r="22" spans="1:4" x14ac:dyDescent="0.25">
      <c r="A22">
        <v>1</v>
      </c>
      <c r="B22">
        <v>0.4</v>
      </c>
      <c r="C22">
        <f t="shared" si="0"/>
        <v>0.4</v>
      </c>
      <c r="D22">
        <f t="shared" si="1"/>
        <v>0.4</v>
      </c>
    </row>
    <row r="23" spans="1:4" x14ac:dyDescent="0.25">
      <c r="A23">
        <v>1</v>
      </c>
      <c r="B23">
        <v>0.2</v>
      </c>
      <c r="C23">
        <f t="shared" si="0"/>
        <v>0.2</v>
      </c>
      <c r="D23">
        <f t="shared" si="1"/>
        <v>0.2</v>
      </c>
    </row>
    <row r="24" spans="1:4" x14ac:dyDescent="0.25">
      <c r="A24">
        <v>2</v>
      </c>
      <c r="B24">
        <v>0.1</v>
      </c>
      <c r="C24">
        <f t="shared" si="0"/>
        <v>0.2</v>
      </c>
      <c r="D24">
        <f t="shared" si="1"/>
        <v>0.4</v>
      </c>
    </row>
    <row r="25" spans="1:4" x14ac:dyDescent="0.25">
      <c r="A25" t="s">
        <v>4</v>
      </c>
      <c r="B25">
        <f>SUM(B20:B24)</f>
        <v>1.0000000000000002</v>
      </c>
      <c r="C25">
        <f>SUM(C20:C24)</f>
        <v>0.30000000000000004</v>
      </c>
      <c r="D25">
        <f>SUM(D20:D24)</f>
        <v>1.9</v>
      </c>
    </row>
    <row r="26" spans="1:4" x14ac:dyDescent="0.25">
      <c r="B26" t="s">
        <v>16</v>
      </c>
      <c r="C26" t="s">
        <v>17</v>
      </c>
      <c r="D26" t="s">
        <v>18</v>
      </c>
    </row>
    <row r="28" spans="1:4" x14ac:dyDescent="0.25">
      <c r="A28" s="1"/>
      <c r="B28" s="1" t="s">
        <v>5</v>
      </c>
      <c r="C28" s="1" t="s">
        <v>6</v>
      </c>
    </row>
    <row r="29" spans="1:4" x14ac:dyDescent="0.25">
      <c r="A29" s="1" t="s">
        <v>7</v>
      </c>
      <c r="B29">
        <f>SUMPRODUCT(A20:A24,B20:B24)</f>
        <v>0.30000000000000004</v>
      </c>
      <c r="C29" t="s">
        <v>19</v>
      </c>
    </row>
    <row r="30" spans="1:4" x14ac:dyDescent="0.25">
      <c r="A30" s="1" t="s">
        <v>8</v>
      </c>
      <c r="B30">
        <f>4*B29+5</f>
        <v>6.2</v>
      </c>
      <c r="C30" t="s">
        <v>20</v>
      </c>
    </row>
    <row r="31" spans="1:4" x14ac:dyDescent="0.25">
      <c r="A31" s="1" t="s">
        <v>9</v>
      </c>
      <c r="B31" cm="1">
        <f t="array" ref="B31">SUMPRODUCT((A20:A24)^2,B20:B24)</f>
        <v>1.9</v>
      </c>
      <c r="C31" t="s">
        <v>21</v>
      </c>
    </row>
    <row r="32" spans="1:4" x14ac:dyDescent="0.25">
      <c r="A32" s="1" t="s">
        <v>10</v>
      </c>
      <c r="B32">
        <f>B31-(B29)^2</f>
        <v>1.8099999999999998</v>
      </c>
      <c r="C32" t="s">
        <v>22</v>
      </c>
    </row>
    <row r="33" spans="1:3" x14ac:dyDescent="0.25">
      <c r="A33" s="1" t="s">
        <v>11</v>
      </c>
      <c r="B33">
        <f>4^2*B32</f>
        <v>28.959999999999997</v>
      </c>
      <c r="C33" t="s">
        <v>23</v>
      </c>
    </row>
    <row r="34" spans="1:3" x14ac:dyDescent="0.25">
      <c r="A34" s="2" t="s">
        <v>12</v>
      </c>
      <c r="B34">
        <f>SQRT(B32)</f>
        <v>1.3453624047073709</v>
      </c>
      <c r="C34" t="s">
        <v>25</v>
      </c>
    </row>
    <row r="35" spans="1:3" x14ac:dyDescent="0.25">
      <c r="A35" s="1" t="s">
        <v>13</v>
      </c>
      <c r="B35">
        <f>SQRT(B33)</f>
        <v>5.3814496188294836</v>
      </c>
      <c r="C3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ACER-WIN10</dc:creator>
  <cp:lastModifiedBy>Salim Shrestha</cp:lastModifiedBy>
  <dcterms:created xsi:type="dcterms:W3CDTF">2015-06-05T18:17:20Z</dcterms:created>
  <dcterms:modified xsi:type="dcterms:W3CDTF">2025-11-13T17:05:19Z</dcterms:modified>
</cp:coreProperties>
</file>