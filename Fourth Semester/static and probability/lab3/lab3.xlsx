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CER-WIN10\Documents\GitHub\BCE\Fourth Semester\static and probability\lab3\"/>
    </mc:Choice>
  </mc:AlternateContent>
  <xr:revisionPtr revIDLastSave="0" documentId="13_ncr:1_{E6FB328D-D7EE-4825-9226-2530E74027FE}" xr6:coauthVersionLast="47" xr6:coauthVersionMax="47" xr10:uidLastSave="{00000000-0000-0000-0000-000000000000}"/>
  <bookViews>
    <workbookView xWindow="20370" yWindow="-120" windowWidth="21840" windowHeight="13290" activeTab="3" xr2:uid="{00000000-000D-0000-FFFF-FFFF00000000}"/>
  </bookViews>
  <sheets>
    <sheet name="Sheet1" sheetId="1" r:id="rId1"/>
    <sheet name="Sheet2" sheetId="2" r:id="rId2"/>
    <sheet name="Sheet3(assign)" sheetId="3" r:id="rId3"/>
    <sheet name="Sheet4(assign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1" i="4" l="1"/>
  <c r="C49" i="4"/>
  <c r="C47" i="4"/>
  <c r="F43" i="4"/>
  <c r="E43" i="4"/>
  <c r="D43" i="4"/>
  <c r="C43" i="4"/>
  <c r="B43" i="4"/>
  <c r="C22" i="2"/>
  <c r="F42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20" i="4"/>
  <c r="F19" i="4"/>
  <c r="D42" i="4"/>
  <c r="E42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19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20" i="4"/>
  <c r="D19" i="4"/>
  <c r="C16" i="2" l="1"/>
  <c r="F4" i="2"/>
  <c r="F5" i="2"/>
  <c r="F6" i="2"/>
  <c r="F7" i="2"/>
  <c r="F8" i="2"/>
  <c r="F9" i="2"/>
  <c r="F10" i="2"/>
  <c r="F3" i="2"/>
  <c r="F2" i="2"/>
  <c r="F11" i="2" s="1"/>
  <c r="E4" i="2"/>
  <c r="E5" i="2"/>
  <c r="E6" i="2"/>
  <c r="E7" i="2"/>
  <c r="E8" i="2"/>
  <c r="E9" i="2"/>
  <c r="E10" i="2"/>
  <c r="E3" i="2"/>
  <c r="E11" i="2" s="1"/>
  <c r="E2" i="2"/>
  <c r="C11" i="2"/>
  <c r="B11" i="2"/>
  <c r="D10" i="2"/>
  <c r="D9" i="2"/>
  <c r="D8" i="2"/>
  <c r="D7" i="2"/>
  <c r="D6" i="2"/>
  <c r="D5" i="2"/>
  <c r="D4" i="2"/>
  <c r="D3" i="2"/>
  <c r="D11" i="2" s="1"/>
  <c r="D2" i="2"/>
  <c r="C19" i="2" l="1"/>
</calcChain>
</file>

<file path=xl/sharedStrings.xml><?xml version="1.0" encoding="utf-8"?>
<sst xmlns="http://schemas.openxmlformats.org/spreadsheetml/2006/main" count="48" uniqueCount="39">
  <si>
    <t>Daily Rainfall</t>
  </si>
  <si>
    <t>Particulate</t>
  </si>
  <si>
    <t>Daily Rainfall(X)</t>
  </si>
  <si>
    <t>Particulate(Y)</t>
  </si>
  <si>
    <t>X2</t>
  </si>
  <si>
    <t>y2</t>
  </si>
  <si>
    <t>XY</t>
  </si>
  <si>
    <t>SUM</t>
  </si>
  <si>
    <t>FORMULA</t>
  </si>
  <si>
    <t>Symbol</t>
  </si>
  <si>
    <t>value</t>
  </si>
  <si>
    <t>formula</t>
  </si>
  <si>
    <t>no. of observaion</t>
  </si>
  <si>
    <t>n</t>
  </si>
  <si>
    <t xml:space="preserve"> =COUNT(B2:B10)</t>
  </si>
  <si>
    <t>correlation coefficient</t>
  </si>
  <si>
    <t>r</t>
  </si>
  <si>
    <t xml:space="preserve"> =(C16*F11-B11*C11)/((SQRT(C16*D11-B11^2))*(SQRT(C16*E11-C11^2)))</t>
  </si>
  <si>
    <t xml:space="preserve"> =CORREL(B2:B10,C2:C10)</t>
  </si>
  <si>
    <t>USING EXCEL TOOL</t>
  </si>
  <si>
    <t>age of husband</t>
  </si>
  <si>
    <t>age of wife</t>
  </si>
  <si>
    <t>Formula Used</t>
  </si>
  <si>
    <t>age of husband (X)</t>
  </si>
  <si>
    <t>age of wife (Y)</t>
  </si>
  <si>
    <t>X^2</t>
  </si>
  <si>
    <t>Y^2</t>
  </si>
  <si>
    <t>SYMBOL</t>
  </si>
  <si>
    <t>VALUE</t>
  </si>
  <si>
    <t>NO OF OBSERVATION</t>
  </si>
  <si>
    <t>N</t>
  </si>
  <si>
    <t xml:space="preserve"> =SUM(B19:B42)</t>
  </si>
  <si>
    <t xml:space="preserve"> =SUM(C19:C42)</t>
  </si>
  <si>
    <t xml:space="preserve"> =SUM(D19:D42)</t>
  </si>
  <si>
    <t xml:space="preserve"> =SUM(E19:E42)</t>
  </si>
  <si>
    <t xml:space="preserve"> =SUM(F19:F42)</t>
  </si>
  <si>
    <t xml:space="preserve"> =COUNT(B19:B42)</t>
  </si>
  <si>
    <t xml:space="preserve"> =(C47*F43-B43*C43)/((SQRT(C47*D43-B43^2))*(SQRT(C47*E43-C43^2)))</t>
  </si>
  <si>
    <t xml:space="preserve"> =CORREL(B19:B42,C19:C42)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</si>
</sst>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Particulate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</c:f>
              <c:numCache>
                <c:formatCode>General</c:formatCode>
                <c:ptCount val="9"/>
                <c:pt idx="0">
                  <c:v>4.0999999999999996</c:v>
                </c:pt>
                <c:pt idx="1">
                  <c:v>4.3</c:v>
                </c:pt>
                <c:pt idx="2">
                  <c:v>5.7</c:v>
                </c:pt>
                <c:pt idx="3">
                  <c:v>5.4</c:v>
                </c:pt>
                <c:pt idx="4">
                  <c:v>5.9</c:v>
                </c:pt>
                <c:pt idx="5">
                  <c:v>5</c:v>
                </c:pt>
                <c:pt idx="6">
                  <c:v>3.6</c:v>
                </c:pt>
                <c:pt idx="7">
                  <c:v>1.9</c:v>
                </c:pt>
                <c:pt idx="8">
                  <c:v>7.3</c:v>
                </c:pt>
              </c:numCache>
            </c:numRef>
          </c:xVal>
          <c:yVal>
            <c:numRef>
              <c:f>Sheet1!$B$2:$B$10</c:f>
              <c:numCache>
                <c:formatCode>General</c:formatCode>
                <c:ptCount val="9"/>
                <c:pt idx="0">
                  <c:v>122</c:v>
                </c:pt>
                <c:pt idx="1">
                  <c:v>117</c:v>
                </c:pt>
                <c:pt idx="2">
                  <c:v>112</c:v>
                </c:pt>
                <c:pt idx="3">
                  <c:v>114</c:v>
                </c:pt>
                <c:pt idx="4">
                  <c:v>110</c:v>
                </c:pt>
                <c:pt idx="5">
                  <c:v>114</c:v>
                </c:pt>
                <c:pt idx="6">
                  <c:v>128</c:v>
                </c:pt>
                <c:pt idx="7">
                  <c:v>137</c:v>
                </c:pt>
                <c:pt idx="8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C2-4AA1-90CF-5C03F4C51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744160"/>
        <c:axId val="265744704"/>
      </c:scatterChart>
      <c:valAx>
        <c:axId val="26574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Daily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744704"/>
        <c:crosses val="autoZero"/>
        <c:crossBetween val="midCat"/>
      </c:valAx>
      <c:valAx>
        <c:axId val="2657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Particulate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74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'Sheet3(assign)'!$B$18</c:f>
              <c:strCache>
                <c:ptCount val="1"/>
                <c:pt idx="0">
                  <c:v>age of wife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'Sheet3(assign)'!$A$19:$A$42</c:f>
              <c:numCache>
                <c:formatCode>General</c:formatCode>
                <c:ptCount val="24"/>
                <c:pt idx="0">
                  <c:v>24</c:v>
                </c:pt>
                <c:pt idx="1">
                  <c:v>22</c:v>
                </c:pt>
                <c:pt idx="2">
                  <c:v>35</c:v>
                </c:pt>
                <c:pt idx="3">
                  <c:v>35</c:v>
                </c:pt>
                <c:pt idx="4">
                  <c:v>23</c:v>
                </c:pt>
                <c:pt idx="5">
                  <c:v>31</c:v>
                </c:pt>
                <c:pt idx="6">
                  <c:v>33</c:v>
                </c:pt>
                <c:pt idx="7">
                  <c:v>33</c:v>
                </c:pt>
                <c:pt idx="8">
                  <c:v>21</c:v>
                </c:pt>
                <c:pt idx="9">
                  <c:v>30</c:v>
                </c:pt>
                <c:pt idx="10">
                  <c:v>27</c:v>
                </c:pt>
                <c:pt idx="11">
                  <c:v>25</c:v>
                </c:pt>
                <c:pt idx="12">
                  <c:v>25</c:v>
                </c:pt>
                <c:pt idx="13">
                  <c:v>24</c:v>
                </c:pt>
                <c:pt idx="14">
                  <c:v>34</c:v>
                </c:pt>
                <c:pt idx="15">
                  <c:v>33</c:v>
                </c:pt>
                <c:pt idx="16">
                  <c:v>33</c:v>
                </c:pt>
                <c:pt idx="17">
                  <c:v>30</c:v>
                </c:pt>
                <c:pt idx="18">
                  <c:v>19</c:v>
                </c:pt>
                <c:pt idx="19">
                  <c:v>32</c:v>
                </c:pt>
                <c:pt idx="20">
                  <c:v>21</c:v>
                </c:pt>
                <c:pt idx="21">
                  <c:v>35</c:v>
                </c:pt>
                <c:pt idx="22">
                  <c:v>27</c:v>
                </c:pt>
                <c:pt idx="23">
                  <c:v>19</c:v>
                </c:pt>
              </c:numCache>
            </c:numRef>
          </c:xVal>
          <c:yVal>
            <c:numRef>
              <c:f>'Sheet3(assign)'!$B$19:$B$42</c:f>
              <c:numCache>
                <c:formatCode>General</c:formatCode>
                <c:ptCount val="24"/>
                <c:pt idx="0">
                  <c:v>23</c:v>
                </c:pt>
                <c:pt idx="1">
                  <c:v>20</c:v>
                </c:pt>
                <c:pt idx="2">
                  <c:v>30</c:v>
                </c:pt>
                <c:pt idx="3">
                  <c:v>28</c:v>
                </c:pt>
                <c:pt idx="4">
                  <c:v>20</c:v>
                </c:pt>
                <c:pt idx="5">
                  <c:v>26</c:v>
                </c:pt>
                <c:pt idx="6">
                  <c:v>23</c:v>
                </c:pt>
                <c:pt idx="7">
                  <c:v>20</c:v>
                </c:pt>
                <c:pt idx="8">
                  <c:v>21</c:v>
                </c:pt>
                <c:pt idx="9">
                  <c:v>30</c:v>
                </c:pt>
                <c:pt idx="10">
                  <c:v>27</c:v>
                </c:pt>
                <c:pt idx="11">
                  <c:v>20</c:v>
                </c:pt>
                <c:pt idx="12">
                  <c:v>20</c:v>
                </c:pt>
                <c:pt idx="13">
                  <c:v>23</c:v>
                </c:pt>
                <c:pt idx="14">
                  <c:v>25</c:v>
                </c:pt>
                <c:pt idx="15">
                  <c:v>23</c:v>
                </c:pt>
                <c:pt idx="16">
                  <c:v>27</c:v>
                </c:pt>
                <c:pt idx="17">
                  <c:v>27</c:v>
                </c:pt>
                <c:pt idx="18">
                  <c:v>19</c:v>
                </c:pt>
                <c:pt idx="19">
                  <c:v>19</c:v>
                </c:pt>
                <c:pt idx="20">
                  <c:v>18</c:v>
                </c:pt>
                <c:pt idx="21">
                  <c:v>23</c:v>
                </c:pt>
                <c:pt idx="22">
                  <c:v>22</c:v>
                </c:pt>
                <c:pt idx="2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B9-4202-A051-28FB0F244D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160496"/>
        <c:axId val="163157232"/>
      </c:scatterChart>
      <c:valAx>
        <c:axId val="163160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husband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57232"/>
        <c:crosses val="autoZero"/>
        <c:crossBetween val="midCat"/>
      </c:valAx>
      <c:valAx>
        <c:axId val="163157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of wife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16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4</xdr:row>
      <xdr:rowOff>171450</xdr:rowOff>
    </xdr:from>
    <xdr:to>
      <xdr:col>10</xdr:col>
      <xdr:colOff>190500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17</xdr:row>
      <xdr:rowOff>157162</xdr:rowOff>
    </xdr:from>
    <xdr:to>
      <xdr:col>10</xdr:col>
      <xdr:colOff>333375</xdr:colOff>
      <xdr:row>32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>
      <selection activeCell="B15" sqref="B15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4.0999999999999996</v>
      </c>
      <c r="B2">
        <v>122</v>
      </c>
    </row>
    <row r="3" spans="1:2" x14ac:dyDescent="0.25">
      <c r="A3">
        <v>4.3</v>
      </c>
      <c r="B3">
        <v>117</v>
      </c>
    </row>
    <row r="4" spans="1:2" x14ac:dyDescent="0.25">
      <c r="A4">
        <v>5.7</v>
      </c>
      <c r="B4">
        <v>112</v>
      </c>
    </row>
    <row r="5" spans="1:2" x14ac:dyDescent="0.25">
      <c r="A5">
        <v>5.4</v>
      </c>
      <c r="B5">
        <v>114</v>
      </c>
    </row>
    <row r="6" spans="1:2" x14ac:dyDescent="0.25">
      <c r="A6">
        <v>5.9</v>
      </c>
      <c r="B6">
        <v>110</v>
      </c>
    </row>
    <row r="7" spans="1:2" x14ac:dyDescent="0.25">
      <c r="A7">
        <v>5</v>
      </c>
      <c r="B7">
        <v>114</v>
      </c>
    </row>
    <row r="8" spans="1:2" x14ac:dyDescent="0.25">
      <c r="A8">
        <v>3.6</v>
      </c>
      <c r="B8">
        <v>128</v>
      </c>
    </row>
    <row r="9" spans="1:2" x14ac:dyDescent="0.25">
      <c r="A9">
        <v>1.9</v>
      </c>
      <c r="B9">
        <v>137</v>
      </c>
    </row>
    <row r="10" spans="1:2" x14ac:dyDescent="0.25">
      <c r="A10">
        <v>7.3</v>
      </c>
      <c r="B10">
        <v>104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"/>
  <sheetViews>
    <sheetView workbookViewId="0">
      <selection activeCell="D16" sqref="D16"/>
    </sheetView>
  </sheetViews>
  <sheetFormatPr defaultRowHeight="15" x14ac:dyDescent="0.25"/>
  <cols>
    <col min="1" max="1" width="21" bestFit="1" customWidth="1"/>
    <col min="2" max="2" width="15.28515625" bestFit="1" customWidth="1"/>
    <col min="3" max="3" width="13.140625" bestFit="1" customWidth="1"/>
    <col min="4" max="4" width="65.28515625" bestFit="1" customWidth="1"/>
    <col min="5" max="6" width="7" bestFit="1" customWidth="1"/>
  </cols>
  <sheetData>
    <row r="1" spans="1:6" x14ac:dyDescent="0.25"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B2">
        <v>4.0999999999999996</v>
      </c>
      <c r="C2">
        <v>122</v>
      </c>
      <c r="D2">
        <f>4.1^2</f>
        <v>16.809999999999999</v>
      </c>
      <c r="E2">
        <f>C2^2</f>
        <v>14884</v>
      </c>
      <c r="F2">
        <f>B2*C2</f>
        <v>500.19999999999993</v>
      </c>
    </row>
    <row r="3" spans="1:6" x14ac:dyDescent="0.25">
      <c r="B3">
        <v>4.3</v>
      </c>
      <c r="C3">
        <v>117</v>
      </c>
      <c r="D3">
        <f>4.3^2</f>
        <v>18.489999999999998</v>
      </c>
      <c r="E3">
        <f>C3^2</f>
        <v>13689</v>
      </c>
      <c r="F3">
        <f>B3*C3</f>
        <v>503.09999999999997</v>
      </c>
    </row>
    <row r="4" spans="1:6" x14ac:dyDescent="0.25">
      <c r="B4">
        <v>5.7</v>
      </c>
      <c r="C4">
        <v>112</v>
      </c>
      <c r="D4">
        <f>5.7^2</f>
        <v>32.49</v>
      </c>
      <c r="E4">
        <f t="shared" ref="E4:E10" si="0">C4^2</f>
        <v>12544</v>
      </c>
      <c r="F4">
        <f t="shared" ref="F4:F10" si="1">B4*C4</f>
        <v>638.4</v>
      </c>
    </row>
    <row r="5" spans="1:6" x14ac:dyDescent="0.25">
      <c r="B5">
        <v>5.4</v>
      </c>
      <c r="C5">
        <v>114</v>
      </c>
      <c r="D5">
        <f>5.4^2</f>
        <v>29.160000000000004</v>
      </c>
      <c r="E5">
        <f t="shared" si="0"/>
        <v>12996</v>
      </c>
      <c r="F5">
        <f t="shared" si="1"/>
        <v>615.6</v>
      </c>
    </row>
    <row r="6" spans="1:6" x14ac:dyDescent="0.25">
      <c r="B6">
        <v>5.9</v>
      </c>
      <c r="C6">
        <v>110</v>
      </c>
      <c r="D6">
        <f>5.9^2</f>
        <v>34.81</v>
      </c>
      <c r="E6">
        <f t="shared" si="0"/>
        <v>12100</v>
      </c>
      <c r="F6">
        <f t="shared" si="1"/>
        <v>649</v>
      </c>
    </row>
    <row r="7" spans="1:6" x14ac:dyDescent="0.25">
      <c r="B7">
        <v>5</v>
      </c>
      <c r="C7">
        <v>114</v>
      </c>
      <c r="D7">
        <f>5^2</f>
        <v>25</v>
      </c>
      <c r="E7">
        <f t="shared" si="0"/>
        <v>12996</v>
      </c>
      <c r="F7">
        <f t="shared" si="1"/>
        <v>570</v>
      </c>
    </row>
    <row r="8" spans="1:6" x14ac:dyDescent="0.25">
      <c r="B8">
        <v>3.6</v>
      </c>
      <c r="C8">
        <v>128</v>
      </c>
      <c r="D8">
        <f>3.6^2</f>
        <v>12.96</v>
      </c>
      <c r="E8">
        <f t="shared" si="0"/>
        <v>16384</v>
      </c>
      <c r="F8">
        <f t="shared" si="1"/>
        <v>460.8</v>
      </c>
    </row>
    <row r="9" spans="1:6" x14ac:dyDescent="0.25">
      <c r="B9">
        <v>1.9</v>
      </c>
      <c r="C9">
        <v>137</v>
      </c>
      <c r="D9">
        <f>1.9^2</f>
        <v>3.61</v>
      </c>
      <c r="E9">
        <f t="shared" si="0"/>
        <v>18769</v>
      </c>
      <c r="F9">
        <f t="shared" si="1"/>
        <v>260.3</v>
      </c>
    </row>
    <row r="10" spans="1:6" x14ac:dyDescent="0.25">
      <c r="B10">
        <v>7.3</v>
      </c>
      <c r="C10">
        <v>104</v>
      </c>
      <c r="D10">
        <f>7.3^2</f>
        <v>53.29</v>
      </c>
      <c r="E10">
        <f t="shared" si="0"/>
        <v>10816</v>
      </c>
      <c r="F10">
        <f t="shared" si="1"/>
        <v>759.19999999999993</v>
      </c>
    </row>
    <row r="11" spans="1:6" x14ac:dyDescent="0.25">
      <c r="A11" t="s">
        <v>7</v>
      </c>
      <c r="B11">
        <f>SUM(B2:B10)</f>
        <v>43.199999999999996</v>
      </c>
      <c r="C11">
        <f>SUM(C2:C10)</f>
        <v>1058</v>
      </c>
      <c r="D11">
        <f>SUM(D2:D10)</f>
        <v>226.62</v>
      </c>
      <c r="E11">
        <f>SUM(E2:E10)</f>
        <v>125178</v>
      </c>
      <c r="F11">
        <f>SUM(F2:F10)</f>
        <v>4956.5999999999995</v>
      </c>
    </row>
    <row r="12" spans="1:6" x14ac:dyDescent="0.25">
      <c r="A12" t="s">
        <v>8</v>
      </c>
    </row>
    <row r="15" spans="1:6" x14ac:dyDescent="0.25">
      <c r="B15" t="s">
        <v>9</v>
      </c>
      <c r="C15" t="s">
        <v>10</v>
      </c>
      <c r="D15" t="s">
        <v>11</v>
      </c>
    </row>
    <row r="16" spans="1:6" x14ac:dyDescent="0.25">
      <c r="A16" t="s">
        <v>12</v>
      </c>
      <c r="B16" t="s">
        <v>13</v>
      </c>
      <c r="C16">
        <f>COUNT(B2:B10)</f>
        <v>9</v>
      </c>
      <c r="D16" t="s">
        <v>14</v>
      </c>
    </row>
    <row r="19" spans="1:4" x14ac:dyDescent="0.25">
      <c r="A19" t="s">
        <v>15</v>
      </c>
      <c r="B19" t="s">
        <v>16</v>
      </c>
      <c r="C19">
        <f>(C16*F11-B11*C11)/((SQRT(C16*D11-B11^2))*(SQRT(C16*E11-C11^2)))</f>
        <v>-0.97865836429372344</v>
      </c>
      <c r="D19" t="s">
        <v>17</v>
      </c>
    </row>
    <row r="21" spans="1:4" x14ac:dyDescent="0.25">
      <c r="A21" t="s">
        <v>19</v>
      </c>
    </row>
    <row r="22" spans="1:4" x14ac:dyDescent="0.25">
      <c r="A22" t="s">
        <v>15</v>
      </c>
      <c r="B22" t="s">
        <v>16</v>
      </c>
      <c r="C22">
        <f>CORREL(B2:B10,C2:C10)</f>
        <v>-0.97865836429372066</v>
      </c>
      <c r="D22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8:B42"/>
  <sheetViews>
    <sheetView topLeftCell="A16" workbookViewId="0">
      <selection activeCell="F37" sqref="F37"/>
    </sheetView>
  </sheetViews>
  <sheetFormatPr defaultRowHeight="15" x14ac:dyDescent="0.25"/>
  <cols>
    <col min="1" max="1" width="14.5703125" bestFit="1" customWidth="1"/>
    <col min="2" max="2" width="10.85546875" bestFit="1" customWidth="1"/>
  </cols>
  <sheetData>
    <row r="18" spans="1:2" x14ac:dyDescent="0.25">
      <c r="A18" s="1" t="s">
        <v>20</v>
      </c>
      <c r="B18" s="1" t="s">
        <v>21</v>
      </c>
    </row>
    <row r="19" spans="1:2" x14ac:dyDescent="0.25">
      <c r="A19">
        <v>24</v>
      </c>
      <c r="B19">
        <v>23</v>
      </c>
    </row>
    <row r="20" spans="1:2" x14ac:dyDescent="0.25">
      <c r="A20">
        <v>22</v>
      </c>
      <c r="B20">
        <v>20</v>
      </c>
    </row>
    <row r="21" spans="1:2" x14ac:dyDescent="0.25">
      <c r="A21">
        <v>35</v>
      </c>
      <c r="B21">
        <v>30</v>
      </c>
    </row>
    <row r="22" spans="1:2" x14ac:dyDescent="0.25">
      <c r="A22">
        <v>35</v>
      </c>
      <c r="B22">
        <v>28</v>
      </c>
    </row>
    <row r="23" spans="1:2" x14ac:dyDescent="0.25">
      <c r="A23">
        <v>23</v>
      </c>
      <c r="B23">
        <v>20</v>
      </c>
    </row>
    <row r="24" spans="1:2" x14ac:dyDescent="0.25">
      <c r="A24">
        <v>31</v>
      </c>
      <c r="B24">
        <v>26</v>
      </c>
    </row>
    <row r="25" spans="1:2" x14ac:dyDescent="0.25">
      <c r="A25">
        <v>33</v>
      </c>
      <c r="B25">
        <v>23</v>
      </c>
    </row>
    <row r="26" spans="1:2" x14ac:dyDescent="0.25">
      <c r="A26">
        <v>33</v>
      </c>
      <c r="B26">
        <v>20</v>
      </c>
    </row>
    <row r="27" spans="1:2" x14ac:dyDescent="0.25">
      <c r="A27">
        <v>21</v>
      </c>
      <c r="B27">
        <v>21</v>
      </c>
    </row>
    <row r="28" spans="1:2" x14ac:dyDescent="0.25">
      <c r="A28">
        <v>30</v>
      </c>
      <c r="B28">
        <v>30</v>
      </c>
    </row>
    <row r="29" spans="1:2" x14ac:dyDescent="0.25">
      <c r="A29">
        <v>27</v>
      </c>
      <c r="B29">
        <v>27</v>
      </c>
    </row>
    <row r="30" spans="1:2" x14ac:dyDescent="0.25">
      <c r="A30">
        <v>25</v>
      </c>
      <c r="B30">
        <v>20</v>
      </c>
    </row>
    <row r="31" spans="1:2" x14ac:dyDescent="0.25">
      <c r="A31">
        <v>25</v>
      </c>
      <c r="B31">
        <v>20</v>
      </c>
    </row>
    <row r="32" spans="1:2" x14ac:dyDescent="0.25">
      <c r="A32">
        <v>24</v>
      </c>
      <c r="B32">
        <v>23</v>
      </c>
    </row>
    <row r="33" spans="1:2" x14ac:dyDescent="0.25">
      <c r="A33">
        <v>34</v>
      </c>
      <c r="B33">
        <v>25</v>
      </c>
    </row>
    <row r="34" spans="1:2" x14ac:dyDescent="0.25">
      <c r="A34">
        <v>33</v>
      </c>
      <c r="B34">
        <v>23</v>
      </c>
    </row>
    <row r="35" spans="1:2" x14ac:dyDescent="0.25">
      <c r="A35">
        <v>33</v>
      </c>
      <c r="B35">
        <v>27</v>
      </c>
    </row>
    <row r="36" spans="1:2" x14ac:dyDescent="0.25">
      <c r="A36">
        <v>30</v>
      </c>
      <c r="B36">
        <v>27</v>
      </c>
    </row>
    <row r="37" spans="1:2" x14ac:dyDescent="0.25">
      <c r="A37">
        <v>19</v>
      </c>
      <c r="B37">
        <v>19</v>
      </c>
    </row>
    <row r="38" spans="1:2" x14ac:dyDescent="0.25">
      <c r="A38">
        <v>32</v>
      </c>
      <c r="B38">
        <v>19</v>
      </c>
    </row>
    <row r="39" spans="1:2" x14ac:dyDescent="0.25">
      <c r="A39">
        <v>21</v>
      </c>
      <c r="B39">
        <v>18</v>
      </c>
    </row>
    <row r="40" spans="1:2" x14ac:dyDescent="0.25">
      <c r="A40">
        <v>35</v>
      </c>
      <c r="B40">
        <v>23</v>
      </c>
    </row>
    <row r="41" spans="1:2" x14ac:dyDescent="0.25">
      <c r="A41">
        <v>27</v>
      </c>
      <c r="B41">
        <v>22</v>
      </c>
    </row>
    <row r="42" spans="1:2" x14ac:dyDescent="0.25">
      <c r="A42">
        <v>19</v>
      </c>
      <c r="B42">
        <v>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8:F51"/>
  <sheetViews>
    <sheetView tabSelected="1" topLeftCell="A16" workbookViewId="0">
      <selection activeCell="K45" sqref="K45"/>
    </sheetView>
  </sheetViews>
  <sheetFormatPr defaultRowHeight="15" x14ac:dyDescent="0.25"/>
  <cols>
    <col min="1" max="1" width="21" bestFit="1" customWidth="1"/>
    <col min="2" max="2" width="17.7109375" bestFit="1" customWidth="1"/>
    <col min="3" max="3" width="14.85546875" bestFit="1" customWidth="1"/>
    <col min="4" max="4" width="15.140625" bestFit="1" customWidth="1"/>
    <col min="5" max="6" width="14.5703125" bestFit="1" customWidth="1"/>
  </cols>
  <sheetData>
    <row r="18" spans="2:6" x14ac:dyDescent="0.25">
      <c r="B18" s="1" t="s">
        <v>23</v>
      </c>
      <c r="C18" s="1" t="s">
        <v>24</v>
      </c>
      <c r="D18" s="1" t="s">
        <v>25</v>
      </c>
      <c r="E18" s="1" t="s">
        <v>26</v>
      </c>
      <c r="F18" s="1" t="s">
        <v>6</v>
      </c>
    </row>
    <row r="19" spans="2:6" x14ac:dyDescent="0.25">
      <c r="B19">
        <v>24</v>
      </c>
      <c r="C19">
        <v>23</v>
      </c>
      <c r="D19">
        <f>B19^2</f>
        <v>576</v>
      </c>
      <c r="E19">
        <f>C19^2</f>
        <v>529</v>
      </c>
      <c r="F19">
        <f>B19*C19</f>
        <v>552</v>
      </c>
    </row>
    <row r="20" spans="2:6" x14ac:dyDescent="0.25">
      <c r="B20">
        <v>22</v>
      </c>
      <c r="C20">
        <v>20</v>
      </c>
      <c r="D20">
        <f>B20^2</f>
        <v>484</v>
      </c>
      <c r="E20">
        <f t="shared" ref="E20:E41" si="0">C20^2</f>
        <v>400</v>
      </c>
      <c r="F20">
        <f>B20*C20</f>
        <v>440</v>
      </c>
    </row>
    <row r="21" spans="2:6" x14ac:dyDescent="0.25">
      <c r="B21">
        <v>35</v>
      </c>
      <c r="C21">
        <v>30</v>
      </c>
      <c r="D21">
        <f t="shared" ref="D21:D41" si="1">B21^2</f>
        <v>1225</v>
      </c>
      <c r="E21">
        <f t="shared" si="0"/>
        <v>900</v>
      </c>
      <c r="F21">
        <f t="shared" ref="F21:F41" si="2">B21*C21</f>
        <v>1050</v>
      </c>
    </row>
    <row r="22" spans="2:6" x14ac:dyDescent="0.25">
      <c r="B22">
        <v>35</v>
      </c>
      <c r="C22">
        <v>28</v>
      </c>
      <c r="D22">
        <f t="shared" si="1"/>
        <v>1225</v>
      </c>
      <c r="E22">
        <f t="shared" si="0"/>
        <v>784</v>
      </c>
      <c r="F22">
        <f t="shared" si="2"/>
        <v>980</v>
      </c>
    </row>
    <row r="23" spans="2:6" x14ac:dyDescent="0.25">
      <c r="B23">
        <v>23</v>
      </c>
      <c r="C23">
        <v>20</v>
      </c>
      <c r="D23">
        <f t="shared" si="1"/>
        <v>529</v>
      </c>
      <c r="E23">
        <f t="shared" si="0"/>
        <v>400</v>
      </c>
      <c r="F23">
        <f t="shared" si="2"/>
        <v>460</v>
      </c>
    </row>
    <row r="24" spans="2:6" x14ac:dyDescent="0.25">
      <c r="B24">
        <v>31</v>
      </c>
      <c r="C24">
        <v>26</v>
      </c>
      <c r="D24">
        <f t="shared" si="1"/>
        <v>961</v>
      </c>
      <c r="E24">
        <f t="shared" si="0"/>
        <v>676</v>
      </c>
      <c r="F24">
        <f t="shared" si="2"/>
        <v>806</v>
      </c>
    </row>
    <row r="25" spans="2:6" x14ac:dyDescent="0.25">
      <c r="B25">
        <v>33</v>
      </c>
      <c r="C25">
        <v>23</v>
      </c>
      <c r="D25">
        <f t="shared" si="1"/>
        <v>1089</v>
      </c>
      <c r="E25">
        <f t="shared" si="0"/>
        <v>529</v>
      </c>
      <c r="F25">
        <f t="shared" si="2"/>
        <v>759</v>
      </c>
    </row>
    <row r="26" spans="2:6" x14ac:dyDescent="0.25">
      <c r="B26">
        <v>33</v>
      </c>
      <c r="C26">
        <v>20</v>
      </c>
      <c r="D26">
        <f t="shared" si="1"/>
        <v>1089</v>
      </c>
      <c r="E26">
        <f t="shared" si="0"/>
        <v>400</v>
      </c>
      <c r="F26">
        <f t="shared" si="2"/>
        <v>660</v>
      </c>
    </row>
    <row r="27" spans="2:6" x14ac:dyDescent="0.25">
      <c r="B27">
        <v>21</v>
      </c>
      <c r="C27">
        <v>21</v>
      </c>
      <c r="D27">
        <f t="shared" si="1"/>
        <v>441</v>
      </c>
      <c r="E27">
        <f t="shared" si="0"/>
        <v>441</v>
      </c>
      <c r="F27">
        <f t="shared" si="2"/>
        <v>441</v>
      </c>
    </row>
    <row r="28" spans="2:6" x14ac:dyDescent="0.25">
      <c r="B28">
        <v>30</v>
      </c>
      <c r="C28">
        <v>30</v>
      </c>
      <c r="D28">
        <f t="shared" si="1"/>
        <v>900</v>
      </c>
      <c r="E28">
        <f t="shared" si="0"/>
        <v>900</v>
      </c>
      <c r="F28">
        <f t="shared" si="2"/>
        <v>900</v>
      </c>
    </row>
    <row r="29" spans="2:6" x14ac:dyDescent="0.25">
      <c r="B29">
        <v>27</v>
      </c>
      <c r="C29">
        <v>27</v>
      </c>
      <c r="D29">
        <f t="shared" si="1"/>
        <v>729</v>
      </c>
      <c r="E29">
        <f t="shared" si="0"/>
        <v>729</v>
      </c>
      <c r="F29">
        <f t="shared" si="2"/>
        <v>729</v>
      </c>
    </row>
    <row r="30" spans="2:6" x14ac:dyDescent="0.25">
      <c r="B30">
        <v>25</v>
      </c>
      <c r="C30">
        <v>20</v>
      </c>
      <c r="D30">
        <f t="shared" si="1"/>
        <v>625</v>
      </c>
      <c r="E30">
        <f t="shared" si="0"/>
        <v>400</v>
      </c>
      <c r="F30">
        <f t="shared" si="2"/>
        <v>500</v>
      </c>
    </row>
    <row r="31" spans="2:6" x14ac:dyDescent="0.25">
      <c r="B31">
        <v>25</v>
      </c>
      <c r="C31">
        <v>20</v>
      </c>
      <c r="D31">
        <f t="shared" si="1"/>
        <v>625</v>
      </c>
      <c r="E31">
        <f t="shared" si="0"/>
        <v>400</v>
      </c>
      <c r="F31">
        <f t="shared" si="2"/>
        <v>500</v>
      </c>
    </row>
    <row r="32" spans="2:6" x14ac:dyDescent="0.25">
      <c r="B32">
        <v>24</v>
      </c>
      <c r="C32">
        <v>23</v>
      </c>
      <c r="D32">
        <f t="shared" si="1"/>
        <v>576</v>
      </c>
      <c r="E32">
        <f t="shared" si="0"/>
        <v>529</v>
      </c>
      <c r="F32">
        <f t="shared" si="2"/>
        <v>552</v>
      </c>
    </row>
    <row r="33" spans="1:6" x14ac:dyDescent="0.25">
      <c r="B33">
        <v>34</v>
      </c>
      <c r="C33">
        <v>25</v>
      </c>
      <c r="D33">
        <f t="shared" si="1"/>
        <v>1156</v>
      </c>
      <c r="E33">
        <f t="shared" si="0"/>
        <v>625</v>
      </c>
      <c r="F33">
        <f t="shared" si="2"/>
        <v>850</v>
      </c>
    </row>
    <row r="34" spans="1:6" x14ac:dyDescent="0.25">
      <c r="B34">
        <v>33</v>
      </c>
      <c r="C34">
        <v>23</v>
      </c>
      <c r="D34">
        <f t="shared" si="1"/>
        <v>1089</v>
      </c>
      <c r="E34">
        <f t="shared" si="0"/>
        <v>529</v>
      </c>
      <c r="F34">
        <f t="shared" si="2"/>
        <v>759</v>
      </c>
    </row>
    <row r="35" spans="1:6" x14ac:dyDescent="0.25">
      <c r="B35">
        <v>33</v>
      </c>
      <c r="C35">
        <v>27</v>
      </c>
      <c r="D35">
        <f t="shared" si="1"/>
        <v>1089</v>
      </c>
      <c r="E35">
        <f t="shared" si="0"/>
        <v>729</v>
      </c>
      <c r="F35">
        <f t="shared" si="2"/>
        <v>891</v>
      </c>
    </row>
    <row r="36" spans="1:6" x14ac:dyDescent="0.25">
      <c r="B36">
        <v>30</v>
      </c>
      <c r="C36">
        <v>27</v>
      </c>
      <c r="D36">
        <f t="shared" si="1"/>
        <v>900</v>
      </c>
      <c r="E36">
        <f t="shared" si="0"/>
        <v>729</v>
      </c>
      <c r="F36">
        <f t="shared" si="2"/>
        <v>810</v>
      </c>
    </row>
    <row r="37" spans="1:6" x14ac:dyDescent="0.25">
      <c r="B37">
        <v>19</v>
      </c>
      <c r="C37">
        <v>19</v>
      </c>
      <c r="D37">
        <f t="shared" si="1"/>
        <v>361</v>
      </c>
      <c r="E37">
        <f t="shared" si="0"/>
        <v>361</v>
      </c>
      <c r="F37">
        <f t="shared" si="2"/>
        <v>361</v>
      </c>
    </row>
    <row r="38" spans="1:6" x14ac:dyDescent="0.25">
      <c r="B38">
        <v>32</v>
      </c>
      <c r="C38">
        <v>19</v>
      </c>
      <c r="D38">
        <f t="shared" si="1"/>
        <v>1024</v>
      </c>
      <c r="E38">
        <f t="shared" si="0"/>
        <v>361</v>
      </c>
      <c r="F38">
        <f t="shared" si="2"/>
        <v>608</v>
      </c>
    </row>
    <row r="39" spans="1:6" x14ac:dyDescent="0.25">
      <c r="B39">
        <v>21</v>
      </c>
      <c r="C39">
        <v>18</v>
      </c>
      <c r="D39">
        <f t="shared" si="1"/>
        <v>441</v>
      </c>
      <c r="E39">
        <f t="shared" si="0"/>
        <v>324</v>
      </c>
      <c r="F39">
        <f t="shared" si="2"/>
        <v>378</v>
      </c>
    </row>
    <row r="40" spans="1:6" x14ac:dyDescent="0.25">
      <c r="B40">
        <v>35</v>
      </c>
      <c r="C40">
        <v>23</v>
      </c>
      <c r="D40">
        <f t="shared" si="1"/>
        <v>1225</v>
      </c>
      <c r="E40">
        <f t="shared" si="0"/>
        <v>529</v>
      </c>
      <c r="F40">
        <f t="shared" si="2"/>
        <v>805</v>
      </c>
    </row>
    <row r="41" spans="1:6" x14ac:dyDescent="0.25">
      <c r="B41">
        <v>27</v>
      </c>
      <c r="C41">
        <v>22</v>
      </c>
      <c r="D41">
        <f t="shared" si="1"/>
        <v>729</v>
      </c>
      <c r="E41">
        <f t="shared" si="0"/>
        <v>484</v>
      </c>
      <c r="F41">
        <f t="shared" si="2"/>
        <v>594</v>
      </c>
    </row>
    <row r="42" spans="1:6" x14ac:dyDescent="0.25">
      <c r="B42">
        <v>19</v>
      </c>
      <c r="C42">
        <v>19</v>
      </c>
      <c r="D42">
        <f>B42^2</f>
        <v>361</v>
      </c>
      <c r="E42">
        <f>C42^2</f>
        <v>361</v>
      </c>
      <c r="F42">
        <f>B42*C42</f>
        <v>361</v>
      </c>
    </row>
    <row r="43" spans="1:6" x14ac:dyDescent="0.25">
      <c r="A43" s="1" t="s">
        <v>7</v>
      </c>
      <c r="B43">
        <f>SUM(B19:B42)</f>
        <v>671</v>
      </c>
      <c r="C43">
        <f>SUM(C19:C42)</f>
        <v>553</v>
      </c>
      <c r="D43">
        <f>SUM(D19:D42)</f>
        <v>19449</v>
      </c>
      <c r="E43">
        <f>SUM(E19:E42)</f>
        <v>13049</v>
      </c>
      <c r="F43">
        <f>SUM(F19:F42)</f>
        <v>15746</v>
      </c>
    </row>
    <row r="44" spans="1:6" x14ac:dyDescent="0.25">
      <c r="A44" s="1" t="s">
        <v>22</v>
      </c>
      <c r="B44" t="s">
        <v>31</v>
      </c>
      <c r="C44" t="s">
        <v>32</v>
      </c>
      <c r="D44" t="s">
        <v>33</v>
      </c>
      <c r="E44" t="s">
        <v>34</v>
      </c>
      <c r="F44" t="s">
        <v>35</v>
      </c>
    </row>
    <row r="46" spans="1:6" x14ac:dyDescent="0.25">
      <c r="B46" s="1" t="s">
        <v>27</v>
      </c>
      <c r="C46" s="1" t="s">
        <v>28</v>
      </c>
      <c r="D46" s="1" t="s">
        <v>8</v>
      </c>
    </row>
    <row r="47" spans="1:6" x14ac:dyDescent="0.25">
      <c r="A47" s="1" t="s">
        <v>29</v>
      </c>
      <c r="B47" t="s">
        <v>30</v>
      </c>
      <c r="C47">
        <f>COUNT(B19:B42)</f>
        <v>24</v>
      </c>
      <c r="D47" t="s">
        <v>36</v>
      </c>
    </row>
    <row r="49" spans="1:4" x14ac:dyDescent="0.25">
      <c r="A49" s="1" t="s">
        <v>15</v>
      </c>
      <c r="B49" t="s">
        <v>16</v>
      </c>
      <c r="C49">
        <f>(C47*F43-B43*C43)/((SQRT(C47*D43-B43^2))*(SQRT(C47*E43-C43^2)))</f>
        <v>0.61982937694778939</v>
      </c>
      <c r="D49" t="s">
        <v>37</v>
      </c>
    </row>
    <row r="51" spans="1:4" x14ac:dyDescent="0.25">
      <c r="A51" s="1" t="s">
        <v>15</v>
      </c>
      <c r="B51" t="s">
        <v>16</v>
      </c>
      <c r="C51">
        <f>CORREL(B19:B42,C19:C42)</f>
        <v>0.61982937694778928</v>
      </c>
      <c r="D5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Sheet3(assign)</vt:lpstr>
      <vt:lpstr>Sheet4(assign)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Salim Shrestha</cp:lastModifiedBy>
  <dcterms:created xsi:type="dcterms:W3CDTF">2025-07-25T06:43:28Z</dcterms:created>
  <dcterms:modified xsi:type="dcterms:W3CDTF">2025-11-20T07:43:15Z</dcterms:modified>
</cp:coreProperties>
</file>