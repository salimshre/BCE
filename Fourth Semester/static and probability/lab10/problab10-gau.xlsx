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-WIN10\Documents\GitHub\BCE\Fourth Semester\static and probability\lab10\"/>
    </mc:Choice>
  </mc:AlternateContent>
  <xr:revisionPtr revIDLastSave="0" documentId="13_ncr:1_{630AC701-443E-46AA-A6CD-C827A969A00A}" xr6:coauthVersionLast="47" xr6:coauthVersionMax="47" xr10:uidLastSave="{00000000-0000-0000-0000-000000000000}"/>
  <bookViews>
    <workbookView xWindow="20370" yWindow="-120" windowWidth="21840" windowHeight="13290" activeTab="2" xr2:uid="{00000000-000D-0000-FFFF-FFFF00000000}"/>
  </bookViews>
  <sheets>
    <sheet name="Sheet1" sheetId="1" r:id="rId1"/>
    <sheet name="Sheet3" sheetId="3" r:id="rId2"/>
    <sheet name="ass-q1" sheetId="2" r:id="rId3"/>
    <sheet name="ass-q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6" i="2" l="1"/>
  <c r="B30" i="2" s="1"/>
  <c r="B29" i="2"/>
  <c r="B25" i="2"/>
  <c r="B24" i="2"/>
  <c r="B23" i="2"/>
  <c r="B31" i="4"/>
  <c r="B30" i="4"/>
  <c r="B27" i="4"/>
  <c r="B26" i="4"/>
  <c r="B25" i="4"/>
  <c r="B24" i="4"/>
  <c r="B22" i="4"/>
  <c r="B10" i="3"/>
  <c r="B7" i="3"/>
  <c r="B8" i="3" s="1"/>
  <c r="B9" i="3" s="1"/>
  <c r="B9" i="1"/>
  <c r="B6" i="1"/>
  <c r="B7" i="1" s="1"/>
  <c r="B8" i="1" s="1"/>
  <c r="B13" i="1" l="1"/>
  <c r="B12" i="1"/>
  <c r="B14" i="3"/>
  <c r="B13" i="3"/>
</calcChain>
</file>

<file path=xl/sharedStrings.xml><?xml version="1.0" encoding="utf-8"?>
<sst xmlns="http://schemas.openxmlformats.org/spreadsheetml/2006/main" count="76" uniqueCount="44">
  <si>
    <t>Data</t>
  </si>
  <si>
    <t>Formula</t>
  </si>
  <si>
    <t>n</t>
  </si>
  <si>
    <t>sample mean</t>
  </si>
  <si>
    <t>samplestandard deviation</t>
  </si>
  <si>
    <t xml:space="preserve"> =1-B5</t>
  </si>
  <si>
    <t xml:space="preserve"> =B6/2</t>
  </si>
  <si>
    <t>α/2</t>
  </si>
  <si>
    <t>alpha(α)</t>
  </si>
  <si>
    <t>confidence coefficient(1-α)</t>
  </si>
  <si>
    <t>Zα/2</t>
  </si>
  <si>
    <t>standard error of mean</t>
  </si>
  <si>
    <t xml:space="preserve"> =B4/SQRT(B2)</t>
  </si>
  <si>
    <t xml:space="preserve"> =ABS(NORMSINV(B7))</t>
  </si>
  <si>
    <t>claculation of 95% C.I formean:</t>
  </si>
  <si>
    <t>lower confidence limit=</t>
  </si>
  <si>
    <t>upper confidence limit=</t>
  </si>
  <si>
    <t>hence required 95% confidence limit for mean is(7.0842289,7.9157711)</t>
  </si>
  <si>
    <t>claculation of 95% C.I for mean:</t>
  </si>
  <si>
    <t>N</t>
  </si>
  <si>
    <t>P</t>
  </si>
  <si>
    <t>Q</t>
  </si>
  <si>
    <t xml:space="preserve"> α</t>
  </si>
  <si>
    <t xml:space="preserve"> α/2</t>
  </si>
  <si>
    <t>Z α/2</t>
  </si>
  <si>
    <t>standard error of P</t>
  </si>
  <si>
    <t>99% confidence limit for proportion:</t>
  </si>
  <si>
    <t>Upper confidence limit=</t>
  </si>
  <si>
    <t>Lower confidence limit=</t>
  </si>
  <si>
    <t>In percentage terms: 19.57% to 26.43%</t>
  </si>
  <si>
    <t xml:space="preserve"> =1-B21</t>
  </si>
  <si>
    <t xml:space="preserve"> =1-B23</t>
  </si>
  <si>
    <t xml:space="preserve"> =B24/2</t>
  </si>
  <si>
    <t xml:space="preserve"> =ABS(NORMSINV(B25))</t>
  </si>
  <si>
    <t xml:space="preserve"> =SQRT((B21*B22)/B19)</t>
  </si>
  <si>
    <t xml:space="preserve"> =B21-B26*B27</t>
  </si>
  <si>
    <t xml:space="preserve"> =B21+B26*B27</t>
  </si>
  <si>
    <t xml:space="preserve"> =1-B22</t>
  </si>
  <si>
    <t xml:space="preserve"> =B23/2</t>
  </si>
  <si>
    <t xml:space="preserve"> =ABS(NORMSINV(B24))</t>
  </si>
  <si>
    <t xml:space="preserve"> =B21/SQRT(B19)</t>
  </si>
  <si>
    <t xml:space="preserve"> =B20-B25*B26</t>
  </si>
  <si>
    <t xml:space="preserve"> =B20+B25*B26</t>
  </si>
  <si>
    <t>Hence required 95% confidence limit for mean is (19.26501351,20.73498649)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</si>
</sst>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>
      <selection activeCell="A16" sqref="A16"/>
    </sheetView>
  </sheetViews>
  <sheetFormatPr defaultRowHeight="15" x14ac:dyDescent="0.25"/>
  <cols>
    <col min="1" max="1" width="28.42578125" customWidth="1"/>
    <col min="3" max="3" width="22.140625" customWidth="1"/>
  </cols>
  <sheetData>
    <row r="1" spans="1:3" x14ac:dyDescent="0.25">
      <c r="A1" t="s">
        <v>0</v>
      </c>
      <c r="C1" t="s">
        <v>1</v>
      </c>
    </row>
    <row r="2" spans="1:3" x14ac:dyDescent="0.25">
      <c r="A2" t="s">
        <v>2</v>
      </c>
      <c r="B2">
        <v>50</v>
      </c>
    </row>
    <row r="3" spans="1:3" x14ac:dyDescent="0.25">
      <c r="A3" t="s">
        <v>3</v>
      </c>
      <c r="B3">
        <v>7.5</v>
      </c>
    </row>
    <row r="4" spans="1:3" x14ac:dyDescent="0.25">
      <c r="A4" t="s">
        <v>4</v>
      </c>
      <c r="B4">
        <v>1.5</v>
      </c>
    </row>
    <row r="5" spans="1:3" x14ac:dyDescent="0.25">
      <c r="A5" t="s">
        <v>9</v>
      </c>
      <c r="B5">
        <v>0.95</v>
      </c>
    </row>
    <row r="6" spans="1:3" x14ac:dyDescent="0.25">
      <c r="A6" t="s">
        <v>8</v>
      </c>
      <c r="B6">
        <f>1-B5</f>
        <v>5.0000000000000044E-2</v>
      </c>
      <c r="C6" t="s">
        <v>5</v>
      </c>
    </row>
    <row r="7" spans="1:3" x14ac:dyDescent="0.25">
      <c r="A7" t="s">
        <v>7</v>
      </c>
      <c r="B7">
        <f>B6/2</f>
        <v>2.5000000000000022E-2</v>
      </c>
      <c r="C7" t="s">
        <v>6</v>
      </c>
    </row>
    <row r="8" spans="1:3" x14ac:dyDescent="0.25">
      <c r="A8" t="s">
        <v>10</v>
      </c>
      <c r="B8">
        <f>ABS(NORMSINV(B7))</f>
        <v>1.9599639845400536</v>
      </c>
      <c r="C8" t="s">
        <v>13</v>
      </c>
    </row>
    <row r="9" spans="1:3" x14ac:dyDescent="0.25">
      <c r="A9" t="s">
        <v>11</v>
      </c>
      <c r="B9">
        <f>B4/SQRT(B2)</f>
        <v>0.21213203435596426</v>
      </c>
      <c r="C9" t="s">
        <v>12</v>
      </c>
    </row>
    <row r="11" spans="1:3" x14ac:dyDescent="0.25">
      <c r="A11" t="s">
        <v>14</v>
      </c>
    </row>
    <row r="12" spans="1:3" x14ac:dyDescent="0.25">
      <c r="A12" t="s">
        <v>15</v>
      </c>
      <c r="B12">
        <f>B3-B8*B9</f>
        <v>7.0842288526950972</v>
      </c>
    </row>
    <row r="13" spans="1:3" x14ac:dyDescent="0.25">
      <c r="A13" t="s">
        <v>16</v>
      </c>
      <c r="B13">
        <f>B3+B8*B9</f>
        <v>7.9157711473049028</v>
      </c>
    </row>
    <row r="15" spans="1:3" x14ac:dyDescent="0.25">
      <c r="A1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topLeftCell="A4" workbookViewId="0">
      <selection activeCell="A17" sqref="A17"/>
    </sheetView>
  </sheetViews>
  <sheetFormatPr defaultRowHeight="15" x14ac:dyDescent="0.25"/>
  <cols>
    <col min="1" max="1" width="29.140625" customWidth="1"/>
    <col min="2" max="2" width="12.5703125" customWidth="1"/>
    <col min="3" max="3" width="24.7109375" customWidth="1"/>
  </cols>
  <sheetData>
    <row r="1" spans="1:3" x14ac:dyDescent="0.25">
      <c r="A1" t="s">
        <v>0</v>
      </c>
      <c r="C1" t="s">
        <v>1</v>
      </c>
    </row>
    <row r="2" spans="1:3" x14ac:dyDescent="0.25">
      <c r="A2" t="s">
        <v>2</v>
      </c>
      <c r="B2">
        <v>60</v>
      </c>
    </row>
    <row r="3" spans="1:3" x14ac:dyDescent="0.25">
      <c r="A3" t="s">
        <v>19</v>
      </c>
      <c r="B3">
        <v>540</v>
      </c>
    </row>
    <row r="4" spans="1:3" x14ac:dyDescent="0.25">
      <c r="A4" t="s">
        <v>3</v>
      </c>
      <c r="B4">
        <v>6.2</v>
      </c>
    </row>
    <row r="5" spans="1:3" x14ac:dyDescent="0.25">
      <c r="A5" t="s">
        <v>4</v>
      </c>
      <c r="B5">
        <v>1.3680000000000001</v>
      </c>
    </row>
    <row r="6" spans="1:3" x14ac:dyDescent="0.25">
      <c r="A6" t="s">
        <v>9</v>
      </c>
      <c r="B6">
        <v>0.95</v>
      </c>
    </row>
    <row r="7" spans="1:3" x14ac:dyDescent="0.25">
      <c r="A7" t="s">
        <v>8</v>
      </c>
      <c r="B7">
        <f>1-B6</f>
        <v>5.0000000000000044E-2</v>
      </c>
    </row>
    <row r="8" spans="1:3" x14ac:dyDescent="0.25">
      <c r="A8" t="s">
        <v>7</v>
      </c>
      <c r="B8">
        <f>B7/2</f>
        <v>2.5000000000000022E-2</v>
      </c>
      <c r="C8" t="s">
        <v>6</v>
      </c>
    </row>
    <row r="9" spans="1:3" x14ac:dyDescent="0.25">
      <c r="A9" t="s">
        <v>10</v>
      </c>
      <c r="B9">
        <f>ABS(NORMSINV(B8))</f>
        <v>1.9599639845400536</v>
      </c>
      <c r="C9" t="s">
        <v>13</v>
      </c>
    </row>
    <row r="10" spans="1:3" x14ac:dyDescent="0.25">
      <c r="A10" t="s">
        <v>11</v>
      </c>
      <c r="B10">
        <f>B5/SQRT(B2)*SQRT((B3-B2)/(B3-1))</f>
        <v>0.16666204569970006</v>
      </c>
      <c r="C10" t="s">
        <v>12</v>
      </c>
    </row>
    <row r="12" spans="1:3" x14ac:dyDescent="0.25">
      <c r="A12" t="s">
        <v>14</v>
      </c>
    </row>
    <row r="13" spans="1:3" x14ac:dyDescent="0.25">
      <c r="A13" t="s">
        <v>15</v>
      </c>
      <c r="B13">
        <f>B4-B9*B10</f>
        <v>5.8733483928388193</v>
      </c>
    </row>
    <row r="14" spans="1:3" x14ac:dyDescent="0.25">
      <c r="A14" t="s">
        <v>16</v>
      </c>
      <c r="B14">
        <f>B4+B9*B10</f>
        <v>6.5266516071611811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8:C32"/>
  <sheetViews>
    <sheetView tabSelected="1" topLeftCell="A10" workbookViewId="0">
      <selection activeCell="A32" sqref="A32"/>
    </sheetView>
  </sheetViews>
  <sheetFormatPr defaultRowHeight="15" x14ac:dyDescent="0.25"/>
  <cols>
    <col min="1" max="1" width="29.140625" bestFit="1" customWidth="1"/>
    <col min="2" max="2" width="12" bestFit="1" customWidth="1"/>
    <col min="3" max="3" width="25.7109375" customWidth="1"/>
  </cols>
  <sheetData>
    <row r="18" spans="1:3" x14ac:dyDescent="0.25">
      <c r="A18" s="3" t="s">
        <v>0</v>
      </c>
      <c r="B18" s="3"/>
      <c r="C18" s="3" t="s">
        <v>1</v>
      </c>
    </row>
    <row r="19" spans="1:3" x14ac:dyDescent="0.25">
      <c r="A19" s="3" t="s">
        <v>2</v>
      </c>
      <c r="B19" s="1">
        <v>64</v>
      </c>
      <c r="C19" s="1"/>
    </row>
    <row r="20" spans="1:3" x14ac:dyDescent="0.25">
      <c r="A20" s="3" t="s">
        <v>3</v>
      </c>
      <c r="B20" s="1">
        <v>20</v>
      </c>
      <c r="C20" s="1"/>
    </row>
    <row r="21" spans="1:3" x14ac:dyDescent="0.25">
      <c r="A21" s="3" t="s">
        <v>4</v>
      </c>
      <c r="B21" s="1">
        <v>3</v>
      </c>
      <c r="C21" s="1"/>
    </row>
    <row r="22" spans="1:3" x14ac:dyDescent="0.25">
      <c r="A22" s="3" t="s">
        <v>9</v>
      </c>
      <c r="B22" s="1">
        <v>0.95</v>
      </c>
      <c r="C22" s="1"/>
    </row>
    <row r="23" spans="1:3" x14ac:dyDescent="0.25">
      <c r="A23" s="3" t="s">
        <v>8</v>
      </c>
      <c r="B23" s="1">
        <f>1-B22</f>
        <v>5.0000000000000044E-2</v>
      </c>
      <c r="C23" s="1" t="s">
        <v>37</v>
      </c>
    </row>
    <row r="24" spans="1:3" x14ac:dyDescent="0.25">
      <c r="A24" s="3" t="s">
        <v>7</v>
      </c>
      <c r="B24" s="1">
        <f>B23/2</f>
        <v>2.5000000000000022E-2</v>
      </c>
      <c r="C24" s="1" t="s">
        <v>38</v>
      </c>
    </row>
    <row r="25" spans="1:3" x14ac:dyDescent="0.25">
      <c r="A25" s="3" t="s">
        <v>10</v>
      </c>
      <c r="B25" s="1">
        <f>ABS(NORMSINV(B24))</f>
        <v>1.9599639845400536</v>
      </c>
      <c r="C25" s="1" t="s">
        <v>39</v>
      </c>
    </row>
    <row r="26" spans="1:3" x14ac:dyDescent="0.25">
      <c r="A26" s="3" t="s">
        <v>11</v>
      </c>
      <c r="B26" s="1">
        <f>B21/SQRT(B19)</f>
        <v>0.375</v>
      </c>
      <c r="C26" s="1" t="s">
        <v>40</v>
      </c>
    </row>
    <row r="27" spans="1:3" x14ac:dyDescent="0.25">
      <c r="A27" s="3"/>
      <c r="B27" s="1"/>
      <c r="C27" s="1"/>
    </row>
    <row r="28" spans="1:3" x14ac:dyDescent="0.25">
      <c r="A28" s="3" t="s">
        <v>18</v>
      </c>
      <c r="B28" s="1"/>
      <c r="C28" s="1"/>
    </row>
    <row r="29" spans="1:3" x14ac:dyDescent="0.25">
      <c r="A29" s="3" t="s">
        <v>15</v>
      </c>
      <c r="B29" s="1">
        <f>B20-B25*B26</f>
        <v>19.26501350579748</v>
      </c>
      <c r="C29" s="1" t="s">
        <v>41</v>
      </c>
    </row>
    <row r="30" spans="1:3" x14ac:dyDescent="0.25">
      <c r="A30" s="3" t="s">
        <v>16</v>
      </c>
      <c r="B30" s="1">
        <f>B20+B25*B26</f>
        <v>20.73498649420252</v>
      </c>
      <c r="C30" s="1" t="s">
        <v>42</v>
      </c>
    </row>
    <row r="31" spans="1:3" x14ac:dyDescent="0.25">
      <c r="A31" s="1"/>
      <c r="B31" s="1"/>
      <c r="C31" s="1"/>
    </row>
    <row r="32" spans="1:3" x14ac:dyDescent="0.25">
      <c r="A32" s="1" t="s">
        <v>43</v>
      </c>
      <c r="B32" s="1"/>
      <c r="C3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8:C33"/>
  <sheetViews>
    <sheetView topLeftCell="A7" workbookViewId="0">
      <selection activeCell="E25" sqref="E25"/>
    </sheetView>
  </sheetViews>
  <sheetFormatPr defaultRowHeight="15" x14ac:dyDescent="0.25"/>
  <cols>
    <col min="1" max="1" width="35.5703125" bestFit="1" customWidth="1"/>
    <col min="2" max="2" width="12" bestFit="1" customWidth="1"/>
    <col min="3" max="3" width="22.28515625" bestFit="1" customWidth="1"/>
  </cols>
  <sheetData>
    <row r="18" spans="1:3" x14ac:dyDescent="0.25">
      <c r="A18" s="3" t="s">
        <v>0</v>
      </c>
      <c r="B18" s="3"/>
      <c r="C18" s="3" t="s">
        <v>1</v>
      </c>
    </row>
    <row r="19" spans="1:3" x14ac:dyDescent="0.25">
      <c r="A19" s="3" t="s">
        <v>2</v>
      </c>
      <c r="B19" s="1">
        <v>1000</v>
      </c>
      <c r="C19" s="1"/>
    </row>
    <row r="20" spans="1:3" x14ac:dyDescent="0.25">
      <c r="A20" s="3"/>
      <c r="B20" s="2"/>
      <c r="C20" s="1"/>
    </row>
    <row r="21" spans="1:3" x14ac:dyDescent="0.25">
      <c r="A21" s="3" t="s">
        <v>20</v>
      </c>
      <c r="B21" s="1">
        <v>0.23</v>
      </c>
      <c r="C21" s="1"/>
    </row>
    <row r="22" spans="1:3" x14ac:dyDescent="0.25">
      <c r="A22" s="3" t="s">
        <v>21</v>
      </c>
      <c r="B22" s="1">
        <f>1-B21</f>
        <v>0.77</v>
      </c>
      <c r="C22" s="1" t="s">
        <v>30</v>
      </c>
    </row>
    <row r="23" spans="1:3" x14ac:dyDescent="0.25">
      <c r="A23" s="3" t="s">
        <v>9</v>
      </c>
      <c r="B23" s="1">
        <v>0.99</v>
      </c>
      <c r="C23" s="1"/>
    </row>
    <row r="24" spans="1:3" x14ac:dyDescent="0.25">
      <c r="A24" s="3" t="s">
        <v>22</v>
      </c>
      <c r="B24" s="1">
        <f>1-B23</f>
        <v>1.0000000000000009E-2</v>
      </c>
      <c r="C24" s="1" t="s">
        <v>31</v>
      </c>
    </row>
    <row r="25" spans="1:3" x14ac:dyDescent="0.25">
      <c r="A25" s="3" t="s">
        <v>23</v>
      </c>
      <c r="B25" s="1">
        <f>B24/2</f>
        <v>5.0000000000000044E-3</v>
      </c>
      <c r="C25" s="1" t="s">
        <v>32</v>
      </c>
    </row>
    <row r="26" spans="1:3" x14ac:dyDescent="0.25">
      <c r="A26" s="3" t="s">
        <v>24</v>
      </c>
      <c r="B26" s="1">
        <f>ABS(NORMSINV(B25))</f>
        <v>2.5758293035488999</v>
      </c>
      <c r="C26" s="1" t="s">
        <v>33</v>
      </c>
    </row>
    <row r="27" spans="1:3" x14ac:dyDescent="0.25">
      <c r="A27" s="3" t="s">
        <v>25</v>
      </c>
      <c r="B27" s="1">
        <f>SQRT((B21*B22)/B19)</f>
        <v>1.3307892395116516E-2</v>
      </c>
      <c r="C27" s="1" t="s">
        <v>34</v>
      </c>
    </row>
    <row r="28" spans="1:3" x14ac:dyDescent="0.25">
      <c r="A28" s="3"/>
      <c r="B28" s="1"/>
      <c r="C28" s="1"/>
    </row>
    <row r="29" spans="1:3" x14ac:dyDescent="0.25">
      <c r="A29" s="3" t="s">
        <v>26</v>
      </c>
      <c r="B29" s="1"/>
      <c r="C29" s="1"/>
    </row>
    <row r="30" spans="1:3" x14ac:dyDescent="0.25">
      <c r="A30" s="3" t="s">
        <v>28</v>
      </c>
      <c r="B30" s="1">
        <f>B21-B26*B27</f>
        <v>0.19572114080018332</v>
      </c>
      <c r="C30" s="1" t="s">
        <v>35</v>
      </c>
    </row>
    <row r="31" spans="1:3" x14ac:dyDescent="0.25">
      <c r="A31" s="3" t="s">
        <v>27</v>
      </c>
      <c r="B31" s="1">
        <f>B21+B26*B27</f>
        <v>0.2642788591998167</v>
      </c>
      <c r="C31" s="1" t="s">
        <v>36</v>
      </c>
    </row>
    <row r="33" spans="1:1" x14ac:dyDescent="0.25">
      <c r="A3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ass-q1</vt:lpstr>
      <vt:lpstr>ass-q2</vt:lpstr>
    </vt:vector>
  </TitlesOfParts>
  <Company>kcc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KCCUSER</dc:creator>
  <cp:lastModifiedBy>Salim Shrestha</cp:lastModifiedBy>
  <dcterms:created xsi:type="dcterms:W3CDTF">2025-11-21T06:39:10Z</dcterms:created>
  <dcterms:modified xsi:type="dcterms:W3CDTF">2025-11-27T15:22:27Z</dcterms:modified>
</cp:coreProperties>
</file>