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-WIN10\Downloads\"/>
    </mc:Choice>
  </mc:AlternateContent>
  <xr:revisionPtr revIDLastSave="0" documentId="13_ncr:1_{DF5C61A7-611E-4EE2-9E31-502D2D99B03A}" xr6:coauthVersionLast="47" xr6:coauthVersionMax="47" xr10:uidLastSave="{00000000-0000-0000-0000-000000000000}"/>
  <bookViews>
    <workbookView xWindow="0" yWindow="225" windowWidth="20730" windowHeight="1131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2" l="1"/>
  <c r="B48" i="2" s="1"/>
  <c r="B46" i="2"/>
  <c r="B42" i="2"/>
  <c r="B33" i="2"/>
  <c r="B32" i="2"/>
  <c r="B36" i="2" s="1"/>
  <c r="B31" i="2"/>
  <c r="B55" i="1"/>
  <c r="B56" i="1" s="1"/>
  <c r="B57" i="1" s="1"/>
  <c r="B54" i="1"/>
  <c r="B53" i="1"/>
  <c r="B60" i="1" s="1"/>
  <c r="B52" i="1"/>
  <c r="B40" i="1"/>
  <c r="B41" i="1" s="1"/>
  <c r="B42" i="1" s="1"/>
  <c r="B36" i="1"/>
  <c r="B37" i="1" s="1"/>
  <c r="B27" i="1"/>
  <c r="B25" i="1"/>
  <c r="B26" i="1" s="1"/>
  <c r="B24" i="1"/>
  <c r="B12" i="1"/>
  <c r="B9" i="1"/>
  <c r="B10" i="1" s="1"/>
  <c r="B11" i="1" s="1"/>
  <c r="B59" i="1" l="1"/>
  <c r="B43" i="2"/>
  <c r="B44" i="2" s="1"/>
  <c r="B35" i="2"/>
  <c r="B29" i="1"/>
  <c r="B30" i="1"/>
  <c r="B14" i="1"/>
  <c r="B15" i="1"/>
  <c r="B38" i="1"/>
  <c r="B45" i="1" s="1"/>
  <c r="B51" i="2" l="1"/>
  <c r="B50" i="2"/>
  <c r="B44" i="1"/>
</calcChain>
</file>

<file path=xl/sharedStrings.xml><?xml version="1.0" encoding="utf-8"?>
<sst xmlns="http://schemas.openxmlformats.org/spreadsheetml/2006/main" count="121" uniqueCount="57">
  <si>
    <t>Data</t>
  </si>
  <si>
    <t>Formula</t>
  </si>
  <si>
    <t>Value</t>
  </si>
  <si>
    <t>n</t>
  </si>
  <si>
    <t>Sample Mean</t>
  </si>
  <si>
    <t>Sample SD</t>
  </si>
  <si>
    <r>
      <t>1-</t>
    </r>
    <r>
      <rPr>
        <sz val="11"/>
        <color theme="1"/>
        <rFont val="Calibri"/>
        <family val="2"/>
      </rPr>
      <t>α</t>
    </r>
  </si>
  <si>
    <t>α</t>
  </si>
  <si>
    <t>α/2</t>
  </si>
  <si>
    <t>Zα/2</t>
  </si>
  <si>
    <t>S.E. of Mean</t>
  </si>
  <si>
    <t>1-B8</t>
  </si>
  <si>
    <t>B9/2</t>
  </si>
  <si>
    <t>ABS(NORMSINV(B10))</t>
  </si>
  <si>
    <t>B7/SQRT(B5)</t>
  </si>
  <si>
    <t>Lower Confidence Limit</t>
  </si>
  <si>
    <t>Upper Confidence Limit</t>
  </si>
  <si>
    <t>B6-B11*B12</t>
  </si>
  <si>
    <t>B6+B11*B12</t>
  </si>
  <si>
    <t>N</t>
  </si>
  <si>
    <t>1-B23</t>
  </si>
  <si>
    <t>B24/2</t>
  </si>
  <si>
    <t>ABS(NORMSINV(B25))</t>
  </si>
  <si>
    <t>B22/SQRT(B19)*SQRT((B20-B19)/(B20-1))</t>
  </si>
  <si>
    <t>B21-B26*B27</t>
  </si>
  <si>
    <t>B21+B26*B27</t>
  </si>
  <si>
    <t>X</t>
  </si>
  <si>
    <t>P</t>
  </si>
  <si>
    <t>Q</t>
  </si>
  <si>
    <t>S.E. OF P</t>
  </si>
  <si>
    <t>B35/B34</t>
  </si>
  <si>
    <t>1-B36</t>
  </si>
  <si>
    <t>SQRT(B36*B37/B34)</t>
  </si>
  <si>
    <t>1-B39</t>
  </si>
  <si>
    <t>B40/2</t>
  </si>
  <si>
    <t>ABS(NORMSINV(B41))</t>
  </si>
  <si>
    <t>B36-B42*B38</t>
  </si>
  <si>
    <t>B36+B42*B38</t>
  </si>
  <si>
    <t>1-B51</t>
  </si>
  <si>
    <t>SQRT((B51*B52)/B50)*SQRT((B49-B50)/(B49-1))</t>
  </si>
  <si>
    <t>1-B54</t>
  </si>
  <si>
    <t>B55/2</t>
  </si>
  <si>
    <t>ABS(NORMSINV(B56))</t>
  </si>
  <si>
    <t>B51-B53*B57</t>
  </si>
  <si>
    <t>B51+B53*B57</t>
  </si>
  <si>
    <t>B30/2</t>
  </si>
  <si>
    <t>ABS(NORMSINV(B31))</t>
  </si>
  <si>
    <t>B29/SQRT(B27)</t>
  </si>
  <si>
    <t>B28-B32*B33</t>
  </si>
  <si>
    <t>B28+B32*B33</t>
  </si>
  <si>
    <t>B41/B40</t>
  </si>
  <si>
    <t>1-B42</t>
  </si>
  <si>
    <t>1-B45</t>
  </si>
  <si>
    <t>SQRT(B42*B43/B40)</t>
  </si>
  <si>
    <t>B46/2</t>
  </si>
  <si>
    <t>ABS(NORMSINV(B47))</t>
  </si>
  <si>
    <t>B42-B48*B44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</si>
</sst>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60"/>
  <sheetViews>
    <sheetView topLeftCell="A34" workbookViewId="0">
      <selection activeCell="I50" sqref="I50"/>
    </sheetView>
  </sheetViews>
  <sheetFormatPr defaultRowHeight="15" x14ac:dyDescent="0.25"/>
  <cols>
    <col min="1" max="1" width="22.28515625" customWidth="1"/>
    <col min="3" max="3" width="21.140625" customWidth="1"/>
  </cols>
  <sheetData>
    <row r="4" spans="1:3" x14ac:dyDescent="0.25">
      <c r="A4" t="s">
        <v>0</v>
      </c>
      <c r="B4" t="s">
        <v>2</v>
      </c>
      <c r="C4" t="s">
        <v>1</v>
      </c>
    </row>
    <row r="5" spans="1:3" x14ac:dyDescent="0.25">
      <c r="A5" t="s">
        <v>3</v>
      </c>
      <c r="B5">
        <v>50</v>
      </c>
    </row>
    <row r="6" spans="1:3" x14ac:dyDescent="0.25">
      <c r="A6" t="s">
        <v>4</v>
      </c>
      <c r="B6">
        <v>7.5</v>
      </c>
    </row>
    <row r="7" spans="1:3" x14ac:dyDescent="0.25">
      <c r="A7" t="s">
        <v>5</v>
      </c>
      <c r="B7">
        <v>1.5</v>
      </c>
    </row>
    <row r="8" spans="1:3" x14ac:dyDescent="0.25">
      <c r="A8" t="s">
        <v>6</v>
      </c>
      <c r="B8">
        <v>0.95</v>
      </c>
    </row>
    <row r="9" spans="1:3" x14ac:dyDescent="0.25">
      <c r="A9" t="s">
        <v>7</v>
      </c>
      <c r="B9">
        <f>1-B8</f>
        <v>5.0000000000000044E-2</v>
      </c>
      <c r="C9" t="s">
        <v>11</v>
      </c>
    </row>
    <row r="10" spans="1:3" x14ac:dyDescent="0.25">
      <c r="A10" t="s">
        <v>8</v>
      </c>
      <c r="B10">
        <f>B9/2</f>
        <v>2.5000000000000022E-2</v>
      </c>
      <c r="C10" t="s">
        <v>12</v>
      </c>
    </row>
    <row r="11" spans="1:3" x14ac:dyDescent="0.25">
      <c r="A11" t="s">
        <v>9</v>
      </c>
      <c r="B11">
        <f>ABS(NORMSINV(B10))</f>
        <v>1.9599639845400536</v>
      </c>
      <c r="C11" t="s">
        <v>13</v>
      </c>
    </row>
    <row r="12" spans="1:3" x14ac:dyDescent="0.25">
      <c r="A12" t="s">
        <v>10</v>
      </c>
      <c r="B12">
        <f>B7/SQRT(B5)</f>
        <v>0.21213203435596426</v>
      </c>
      <c r="C12" t="s">
        <v>14</v>
      </c>
    </row>
    <row r="14" spans="1:3" x14ac:dyDescent="0.25">
      <c r="A14" t="s">
        <v>15</v>
      </c>
      <c r="B14">
        <f>B6-B11*B12</f>
        <v>7.0842288526950972</v>
      </c>
      <c r="C14" t="s">
        <v>17</v>
      </c>
    </row>
    <row r="15" spans="1:3" x14ac:dyDescent="0.25">
      <c r="A15" t="s">
        <v>16</v>
      </c>
      <c r="B15">
        <f>B6+B11*B12</f>
        <v>7.9157711473049028</v>
      </c>
      <c r="C15" t="s">
        <v>18</v>
      </c>
    </row>
    <row r="18" spans="1:5" x14ac:dyDescent="0.25">
      <c r="A18" t="s">
        <v>0</v>
      </c>
      <c r="B18" t="s">
        <v>2</v>
      </c>
      <c r="C18" t="s">
        <v>1</v>
      </c>
    </row>
    <row r="19" spans="1:5" x14ac:dyDescent="0.25">
      <c r="A19" t="s">
        <v>3</v>
      </c>
      <c r="B19">
        <v>60</v>
      </c>
    </row>
    <row r="20" spans="1:5" x14ac:dyDescent="0.25">
      <c r="A20" t="s">
        <v>19</v>
      </c>
      <c r="B20">
        <v>540</v>
      </c>
    </row>
    <row r="21" spans="1:5" x14ac:dyDescent="0.25">
      <c r="A21" t="s">
        <v>4</v>
      </c>
      <c r="B21">
        <v>6.2</v>
      </c>
    </row>
    <row r="22" spans="1:5" x14ac:dyDescent="0.25">
      <c r="A22" t="s">
        <v>5</v>
      </c>
      <c r="B22">
        <v>1.3680000000000001</v>
      </c>
    </row>
    <row r="23" spans="1:5" x14ac:dyDescent="0.25">
      <c r="A23" t="s">
        <v>6</v>
      </c>
      <c r="B23">
        <v>0.95</v>
      </c>
    </row>
    <row r="24" spans="1:5" x14ac:dyDescent="0.25">
      <c r="A24" t="s">
        <v>7</v>
      </c>
      <c r="B24">
        <f>1-B23</f>
        <v>5.0000000000000044E-2</v>
      </c>
      <c r="C24" t="s">
        <v>20</v>
      </c>
    </row>
    <row r="25" spans="1:5" x14ac:dyDescent="0.25">
      <c r="A25" t="s">
        <v>8</v>
      </c>
      <c r="B25">
        <f>B24/2</f>
        <v>2.5000000000000022E-2</v>
      </c>
      <c r="C25" t="s">
        <v>21</v>
      </c>
    </row>
    <row r="26" spans="1:5" x14ac:dyDescent="0.25">
      <c r="A26" t="s">
        <v>9</v>
      </c>
      <c r="B26">
        <f>ABS(NORMSINV(B25))</f>
        <v>1.9599639845400536</v>
      </c>
      <c r="C26" t="s">
        <v>22</v>
      </c>
    </row>
    <row r="27" spans="1:5" x14ac:dyDescent="0.25">
      <c r="A27" t="s">
        <v>10</v>
      </c>
      <c r="B27">
        <f>B22/SQRT(B19)*SQRT((B20-B19)/(B20-1))</f>
        <v>0.16666204569970006</v>
      </c>
      <c r="C27" s="1" t="s">
        <v>23</v>
      </c>
      <c r="D27" s="1"/>
      <c r="E27" s="1"/>
    </row>
    <row r="29" spans="1:5" x14ac:dyDescent="0.25">
      <c r="A29" t="s">
        <v>15</v>
      </c>
      <c r="B29">
        <f>B21-B26*B27</f>
        <v>5.8733483928388193</v>
      </c>
      <c r="C29" t="s">
        <v>24</v>
      </c>
    </row>
    <row r="30" spans="1:5" x14ac:dyDescent="0.25">
      <c r="A30" t="s">
        <v>16</v>
      </c>
      <c r="B30">
        <f>B21+B26*B27</f>
        <v>6.5266516071611811</v>
      </c>
      <c r="C30" t="s">
        <v>25</v>
      </c>
    </row>
    <row r="33" spans="1:3" x14ac:dyDescent="0.25">
      <c r="A33" t="s">
        <v>0</v>
      </c>
      <c r="B33" t="s">
        <v>2</v>
      </c>
      <c r="C33" t="s">
        <v>1</v>
      </c>
    </row>
    <row r="34" spans="1:3" x14ac:dyDescent="0.25">
      <c r="A34" t="s">
        <v>3</v>
      </c>
      <c r="B34">
        <v>500</v>
      </c>
    </row>
    <row r="35" spans="1:3" x14ac:dyDescent="0.25">
      <c r="A35" t="s">
        <v>26</v>
      </c>
      <c r="B35">
        <v>65</v>
      </c>
    </row>
    <row r="36" spans="1:3" x14ac:dyDescent="0.25">
      <c r="A36" t="s">
        <v>27</v>
      </c>
      <c r="B36">
        <f>B35/B34</f>
        <v>0.13</v>
      </c>
      <c r="C36" t="s">
        <v>30</v>
      </c>
    </row>
    <row r="37" spans="1:3" x14ac:dyDescent="0.25">
      <c r="A37" t="s">
        <v>28</v>
      </c>
      <c r="B37">
        <f>1-B36</f>
        <v>0.87</v>
      </c>
      <c r="C37" t="s">
        <v>31</v>
      </c>
    </row>
    <row r="38" spans="1:3" x14ac:dyDescent="0.25">
      <c r="A38" t="s">
        <v>29</v>
      </c>
      <c r="B38">
        <f>SQRT(B36*B37/B34)</f>
        <v>1.5039946808416579E-2</v>
      </c>
      <c r="C38" t="s">
        <v>32</v>
      </c>
    </row>
    <row r="39" spans="1:3" x14ac:dyDescent="0.25">
      <c r="A39" t="s">
        <v>6</v>
      </c>
      <c r="B39">
        <v>0.99</v>
      </c>
    </row>
    <row r="40" spans="1:3" x14ac:dyDescent="0.25">
      <c r="A40" t="s">
        <v>7</v>
      </c>
      <c r="B40">
        <f>1-B39</f>
        <v>1.0000000000000009E-2</v>
      </c>
      <c r="C40" t="s">
        <v>33</v>
      </c>
    </row>
    <row r="41" spans="1:3" x14ac:dyDescent="0.25">
      <c r="A41" t="s">
        <v>8</v>
      </c>
      <c r="B41">
        <f>B40/2</f>
        <v>5.0000000000000044E-3</v>
      </c>
      <c r="C41" t="s">
        <v>34</v>
      </c>
    </row>
    <row r="42" spans="1:3" x14ac:dyDescent="0.25">
      <c r="A42" t="s">
        <v>9</v>
      </c>
      <c r="B42">
        <f>ABS(NORMSINV(B41))</f>
        <v>2.5758293035488999</v>
      </c>
      <c r="C42" t="s">
        <v>35</v>
      </c>
    </row>
    <row r="44" spans="1:3" x14ac:dyDescent="0.25">
      <c r="A44" t="s">
        <v>15</v>
      </c>
      <c r="B44">
        <f>B36-B42*B38</f>
        <v>9.1259664287063835E-2</v>
      </c>
      <c r="C44" t="s">
        <v>36</v>
      </c>
    </row>
    <row r="45" spans="1:3" x14ac:dyDescent="0.25">
      <c r="A45" t="s">
        <v>16</v>
      </c>
      <c r="B45">
        <f>B36+B42*B38</f>
        <v>0.16874033571293617</v>
      </c>
      <c r="C45" t="s">
        <v>37</v>
      </c>
    </row>
    <row r="48" spans="1:3" x14ac:dyDescent="0.25">
      <c r="A48" t="s">
        <v>0</v>
      </c>
      <c r="B48" t="s">
        <v>2</v>
      </c>
      <c r="C48" t="s">
        <v>1</v>
      </c>
    </row>
    <row r="49" spans="1:6" x14ac:dyDescent="0.25">
      <c r="A49" t="s">
        <v>19</v>
      </c>
      <c r="B49">
        <v>50000</v>
      </c>
    </row>
    <row r="50" spans="1:6" x14ac:dyDescent="0.25">
      <c r="A50" t="s">
        <v>3</v>
      </c>
      <c r="B50">
        <v>500</v>
      </c>
    </row>
    <row r="51" spans="1:6" x14ac:dyDescent="0.25">
      <c r="A51" t="s">
        <v>27</v>
      </c>
      <c r="B51">
        <v>0.02</v>
      </c>
    </row>
    <row r="52" spans="1:6" x14ac:dyDescent="0.25">
      <c r="A52" t="s">
        <v>28</v>
      </c>
      <c r="B52">
        <f>1-B51</f>
        <v>0.98</v>
      </c>
      <c r="C52" t="s">
        <v>38</v>
      </c>
    </row>
    <row r="53" spans="1:6" x14ac:dyDescent="0.25">
      <c r="A53" t="s">
        <v>29</v>
      </c>
      <c r="B53">
        <f>SQRT((B51*B52)/B50)*SQRT((B49-B50)/(B49-1))</f>
        <v>6.2296690261621056E-3</v>
      </c>
      <c r="C53" s="1" t="s">
        <v>39</v>
      </c>
      <c r="D53" s="1"/>
      <c r="E53" s="1"/>
      <c r="F53" s="1"/>
    </row>
    <row r="54" spans="1:6" x14ac:dyDescent="0.25">
      <c r="A54" t="s">
        <v>6</v>
      </c>
      <c r="B54">
        <f>0.95</f>
        <v>0.95</v>
      </c>
    </row>
    <row r="55" spans="1:6" x14ac:dyDescent="0.25">
      <c r="A55" t="s">
        <v>7</v>
      </c>
      <c r="B55">
        <f>1-B54</f>
        <v>5.0000000000000044E-2</v>
      </c>
      <c r="C55" t="s">
        <v>40</v>
      </c>
    </row>
    <row r="56" spans="1:6" x14ac:dyDescent="0.25">
      <c r="A56" t="s">
        <v>8</v>
      </c>
      <c r="B56">
        <f>B55/2</f>
        <v>2.5000000000000022E-2</v>
      </c>
      <c r="C56" t="s">
        <v>41</v>
      </c>
    </row>
    <row r="57" spans="1:6" x14ac:dyDescent="0.25">
      <c r="A57" t="s">
        <v>9</v>
      </c>
      <c r="B57">
        <f>ABS(NORMSINV(B56))</f>
        <v>1.9599639845400536</v>
      </c>
      <c r="C57" t="s">
        <v>42</v>
      </c>
    </row>
    <row r="59" spans="1:6" x14ac:dyDescent="0.25">
      <c r="A59" t="s">
        <v>15</v>
      </c>
      <c r="B59">
        <f>B51-B53*B57</f>
        <v>7.7900730731175639E-3</v>
      </c>
      <c r="C59" t="s">
        <v>43</v>
      </c>
    </row>
    <row r="60" spans="1:6" x14ac:dyDescent="0.25">
      <c r="A60" t="s">
        <v>16</v>
      </c>
      <c r="B60">
        <f>B51+B53*B57</f>
        <v>3.2209926926882439E-2</v>
      </c>
      <c r="C60" t="s">
        <v>44</v>
      </c>
    </row>
  </sheetData>
  <mergeCells count="2">
    <mergeCell ref="C27:E27"/>
    <mergeCell ref="C53:F53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6:C51"/>
  <sheetViews>
    <sheetView tabSelected="1" topLeftCell="A36" zoomScale="120" zoomScaleNormal="120" workbookViewId="0">
      <selection activeCell="C43" sqref="C43"/>
    </sheetView>
  </sheetViews>
  <sheetFormatPr defaultRowHeight="15" x14ac:dyDescent="0.25"/>
  <cols>
    <col min="1" max="1" width="21.85546875" customWidth="1"/>
    <col min="3" max="3" width="21.28515625" customWidth="1"/>
  </cols>
  <sheetData>
    <row r="26" spans="1:3" x14ac:dyDescent="0.25">
      <c r="A26" t="s">
        <v>0</v>
      </c>
      <c r="B26" t="s">
        <v>2</v>
      </c>
      <c r="C26" t="s">
        <v>1</v>
      </c>
    </row>
    <row r="27" spans="1:3" x14ac:dyDescent="0.25">
      <c r="A27" t="s">
        <v>3</v>
      </c>
      <c r="B27">
        <v>64</v>
      </c>
    </row>
    <row r="28" spans="1:3" x14ac:dyDescent="0.25">
      <c r="A28" t="s">
        <v>4</v>
      </c>
      <c r="B28">
        <v>20</v>
      </c>
    </row>
    <row r="29" spans="1:3" x14ac:dyDescent="0.25">
      <c r="A29" t="s">
        <v>5</v>
      </c>
      <c r="B29">
        <v>3</v>
      </c>
    </row>
    <row r="30" spans="1:3" x14ac:dyDescent="0.25">
      <c r="A30" t="s">
        <v>7</v>
      </c>
      <c r="B30">
        <v>0.05</v>
      </c>
    </row>
    <row r="31" spans="1:3" x14ac:dyDescent="0.25">
      <c r="A31" t="s">
        <v>8</v>
      </c>
      <c r="B31">
        <f>B30/2</f>
        <v>2.5000000000000001E-2</v>
      </c>
      <c r="C31" t="s">
        <v>45</v>
      </c>
    </row>
    <row r="32" spans="1:3" x14ac:dyDescent="0.25">
      <c r="A32" t="s">
        <v>9</v>
      </c>
      <c r="B32">
        <f>ABS(NORMSINV(B31))</f>
        <v>1.9599639845400538</v>
      </c>
      <c r="C32" t="s">
        <v>46</v>
      </c>
    </row>
    <row r="33" spans="1:3" x14ac:dyDescent="0.25">
      <c r="A33" t="s">
        <v>10</v>
      </c>
      <c r="B33">
        <f>B29/SQRT(B27)</f>
        <v>0.375</v>
      </c>
      <c r="C33" t="s">
        <v>47</v>
      </c>
    </row>
    <row r="35" spans="1:3" x14ac:dyDescent="0.25">
      <c r="A35" t="s">
        <v>15</v>
      </c>
      <c r="B35">
        <f>B28-B32*B33</f>
        <v>19.26501350579748</v>
      </c>
      <c r="C35" t="s">
        <v>48</v>
      </c>
    </row>
    <row r="36" spans="1:3" x14ac:dyDescent="0.25">
      <c r="A36" t="s">
        <v>16</v>
      </c>
      <c r="B36">
        <f>B28+B32*B33</f>
        <v>20.73498649420252</v>
      </c>
      <c r="C36" t="s">
        <v>49</v>
      </c>
    </row>
    <row r="39" spans="1:3" x14ac:dyDescent="0.25">
      <c r="A39" t="s">
        <v>0</v>
      </c>
      <c r="B39" t="s">
        <v>2</v>
      </c>
      <c r="C39" t="s">
        <v>1</v>
      </c>
    </row>
    <row r="40" spans="1:3" x14ac:dyDescent="0.25">
      <c r="A40" t="s">
        <v>3</v>
      </c>
      <c r="B40">
        <v>1000</v>
      </c>
    </row>
    <row r="41" spans="1:3" x14ac:dyDescent="0.25">
      <c r="A41" t="s">
        <v>26</v>
      </c>
      <c r="B41">
        <v>23</v>
      </c>
    </row>
    <row r="42" spans="1:3" x14ac:dyDescent="0.25">
      <c r="A42" t="s">
        <v>27</v>
      </c>
      <c r="B42">
        <f>B41/B40</f>
        <v>2.3E-2</v>
      </c>
      <c r="C42" t="s">
        <v>50</v>
      </c>
    </row>
    <row r="43" spans="1:3" x14ac:dyDescent="0.25">
      <c r="A43" t="s">
        <v>28</v>
      </c>
      <c r="B43">
        <f>1-B42</f>
        <v>0.97699999999999998</v>
      </c>
      <c r="C43" t="s">
        <v>51</v>
      </c>
    </row>
    <row r="44" spans="1:3" x14ac:dyDescent="0.25">
      <c r="A44" t="s">
        <v>29</v>
      </c>
      <c r="B44">
        <f>SQRT(B42*B43/B40)</f>
        <v>4.7403586362215252E-3</v>
      </c>
      <c r="C44" t="s">
        <v>53</v>
      </c>
    </row>
    <row r="45" spans="1:3" x14ac:dyDescent="0.25">
      <c r="A45" t="s">
        <v>6</v>
      </c>
      <c r="B45">
        <v>0.99</v>
      </c>
    </row>
    <row r="46" spans="1:3" x14ac:dyDescent="0.25">
      <c r="A46" t="s">
        <v>7</v>
      </c>
      <c r="B46">
        <f>1-B45</f>
        <v>1.0000000000000009E-2</v>
      </c>
      <c r="C46" t="s">
        <v>52</v>
      </c>
    </row>
    <row r="47" spans="1:3" x14ac:dyDescent="0.25">
      <c r="A47" t="s">
        <v>8</v>
      </c>
      <c r="B47">
        <f>B46/2</f>
        <v>5.0000000000000044E-3</v>
      </c>
      <c r="C47" t="s">
        <v>54</v>
      </c>
    </row>
    <row r="48" spans="1:3" x14ac:dyDescent="0.25">
      <c r="A48" t="s">
        <v>9</v>
      </c>
      <c r="B48">
        <f>ABS(NORMSINV(B47))</f>
        <v>2.5758293035488999</v>
      </c>
      <c r="C48" t="s">
        <v>55</v>
      </c>
    </row>
    <row r="50" spans="1:3" x14ac:dyDescent="0.25">
      <c r="A50" t="s">
        <v>15</v>
      </c>
      <c r="B50">
        <f>B42-B48*B44</f>
        <v>1.0789645315489496E-2</v>
      </c>
      <c r="C50" t="s">
        <v>56</v>
      </c>
    </row>
    <row r="51" spans="1:3" x14ac:dyDescent="0.25">
      <c r="A51" t="s">
        <v>16</v>
      </c>
      <c r="B51">
        <f>B42+B48*B44</f>
        <v>3.5210354684510503E-2</v>
      </c>
      <c r="C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kcc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KCCUSER</dc:creator>
  <cp:lastModifiedBy>Salim Shrestha</cp:lastModifiedBy>
  <dcterms:created xsi:type="dcterms:W3CDTF">2025-11-21T06:48:40Z</dcterms:created>
  <dcterms:modified xsi:type="dcterms:W3CDTF">2025-11-27T15:11:28Z</dcterms:modified>
</cp:coreProperties>
</file>